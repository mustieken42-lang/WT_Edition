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ılavuz" sheetId="1" state="visible" r:id="rId3"/>
    <sheet name="Görüşme Başlıkları" sheetId="2" state="visible" r:id="rId4"/>
    <sheet name="Donanım Seçimi" sheetId="3" state="visible" r:id="rId5"/>
    <sheet name="Uç Ekipman" sheetId="4" state="visible" r:id="rId6"/>
    <sheet name="Ücretlendir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<sst xmlns="http://schemas.openxmlformats.org/spreadsheetml/2006/main" count="550" uniqueCount="406">
  <si>
    <t xml:space="preserve">Akıllı Villa – Müşteri Görüşmesi ve Teklif Çalışma Kitabı</t>
  </si>
  <si>
    <t xml:space="preserve">Wection SCADA tabanlı villa otomasyonu için görüşme, donanım seçimi ve fiyatlandırma</t>
  </si>
  <si>
    <t xml:space="preserve">Sayfa</t>
  </si>
  <si>
    <t xml:space="preserve">Ne işe yarar</t>
  </si>
  <si>
    <t xml:space="preserve">Görüşme Başlıkları</t>
  </si>
  <si>
    <t xml:space="preserve">İlk müşteri toplantısında sırayla konuşulacak konular, sorulacak sorular ve cevapların yazılacağı sütun.</t>
  </si>
  <si>
    <t xml:space="preserve">Donanım Seçimi</t>
  </si>
  <si>
    <t xml:space="preserve">Her alt sistem için Ekonomik / Orta / Premium seçenekleri, protokoller ve tavsiye. Müşterinin bütçe seviyesine göre seçim yapın.</t>
  </si>
  <si>
    <t xml:space="preserve">Uç Ekipman</t>
  </si>
  <si>
    <t xml:space="preserve">Vana, selenoid, dedektör ve sensörler: marka seçenekleri, fiyat aralıkları ve örnek miktarlar. Toplamı Ücretlendirme sayfasındaki donanım toplamına otomatik bağlıdır.</t>
  </si>
  <si>
    <t xml:space="preserve">Ücretlendirme</t>
  </si>
  <si>
    <t xml:space="preserve">Örnek 400 m² villa keşif listesi. Miktar ve birim fiyatları değiştirin; toplamlar, marj, KDV ve TL karşılığı otomatik hesaplanır.</t>
  </si>
  <si>
    <t xml:space="preserve">Renk kodu</t>
  </si>
  <si>
    <t xml:space="preserve">Mavi yazı</t>
  </si>
  <si>
    <t xml:space="preserve">Elle girilen değer (miktar, birim fiyat, saat). Değiştirebilirsiniz.</t>
  </si>
  <si>
    <t xml:space="preserve">Sarı dolgu</t>
  </si>
  <si>
    <t xml:space="preserve">Mutlaka güncellenmesi gereken varsayım (kur, SCADA lisansı, marj vb.).</t>
  </si>
  <si>
    <t xml:space="preserve">Açık sarı dolgu</t>
  </si>
  <si>
    <t xml:space="preserve">Müşteri cevabı / seçim yazılacak alan.</t>
  </si>
  <si>
    <t xml:space="preserve">Siyah yazı</t>
  </si>
  <si>
    <t xml:space="preserve">Formül – dokunmayın.</t>
  </si>
  <si>
    <t xml:space="preserve">Yeşil yazı</t>
  </si>
  <si>
    <t xml:space="preserve">Başka sayfadan gelen bağlantı (ör. Uç Ekipman toplamı) – dokunmayın.</t>
  </si>
  <si>
    <t xml:space="preserve">ÖNEMLİ</t>
  </si>
  <si>
    <t xml:space="preserve">Birim fiyatlar 2026 için yaklaşık piyasa tahminidir (EUR, KDV hariç) ve yalnızca bütçe büyüklüğünü göstermek içindir. Teklif vermeden önce distribütörlerden güncel fiyat alın. Wection SCADA lisans bedeli bilinmiyor; yer tutucu değer kullanıldı.</t>
  </si>
  <si>
    <t xml:space="preserve">Ödeme planı önerisi</t>
  </si>
  <si>
    <t xml:space="preserve">%50 sipariş avansı (donanım siparişi için) · %40 malzeme teslimi / montaj · %10 devreye alma ve kabul sonrası.</t>
  </si>
  <si>
    <t xml:space="preserve">Teklifte belirtilmesi gerekenler</t>
  </si>
  <si>
    <t xml:space="preserve">Fiyatların döviz bazlı olduğu ve fatura günü kuru · Elektrik tesisatı/kablo çekiminin kapsam dışı veya dahil olduğu · Garanti süresi (genelde 2 yıl) · Yıllık bakım sözleşmesi opsiyonu · Kapsam dışı değişikliklerin saat ücretiyle faturalanacağı.</t>
  </si>
  <si>
    <t xml:space="preserve">Müşteri Görüşmesi – Ana Başlıklar</t>
  </si>
  <si>
    <t xml:space="preserve">Toplantıda sırayla ilerleyin; 'Müşteri Cevabı' sütununu görüşme sırasında doldurun.</t>
  </si>
  <si>
    <t xml:space="preserve">No</t>
  </si>
  <si>
    <t xml:space="preserve">Başlık</t>
  </si>
  <si>
    <t xml:space="preserve">Sorulacak Sorular</t>
  </si>
  <si>
    <t xml:space="preserve">Neden Önemli / Neyi Belirler</t>
  </si>
  <si>
    <t xml:space="preserve">Öncelik</t>
  </si>
  <si>
    <t xml:space="preserve">Müşteri Cevabı / Notlar</t>
  </si>
  <si>
    <t xml:space="preserve">Proje bilgisi</t>
  </si>
  <si>
    <t xml:space="preserve">Villa m², kat sayısı, oda sayısı? İnşaat hangi aşamada (kaba / ince / bitmiş)? Mimar ve elektrik projecisi kim? Proje çizimleri var mı?</t>
  </si>
  <si>
    <t xml:space="preserve">Kablolu (KNX/PLC) mi kablosuz/hibrit mi çözüm yapılacağını belirler. Bitmiş binada kablo çekmek pahalıdır.</t>
  </si>
  <si>
    <t xml:space="preserve">Yüksek</t>
  </si>
  <si>
    <t xml:space="preserve">Bütçe ve beklenti</t>
  </si>
  <si>
    <t xml:space="preserve">Ayrılan yaklaşık bütçe nedir? Ekonomik / Orta / Premium hangi seviye? Etapla yapılabilir mi?</t>
  </si>
  <si>
    <t xml:space="preserve">Donanım seviyesini ve paket kapsamını belirler. Beklenti-bütçe uyumsuzluğunu erken yakalar.</t>
  </si>
  <si>
    <t xml:space="preserve">Kullanıcılar ve yaşam tarzı</t>
  </si>
  <si>
    <t xml:space="preserve">Evde kaç kişi yaşıyor? Çocuk, yaşlı, evcil hayvan var mı? Çalışan (bahçıvan, temizlik) erişimi gerekiyor mu? Yazlık mı sürekli konut mu?</t>
  </si>
  <si>
    <t xml:space="preserve">Senaryoları, kullanıcı yetkilerini ve tatil/uzaktan izleme ihtiyacını belirler.</t>
  </si>
  <si>
    <t xml:space="preserve">Aydınlatma</t>
  </si>
  <si>
    <t xml:space="preserve">Hangi odalarda dimmer/sahne isteniyor? Spot, LED şerit, renk (RGBW) var mı? Bahçe ve cephe aydınlatması? Hareket sensörü nerelerde?</t>
  </si>
  <si>
    <t xml:space="preserve">Röle/dimmer/DALI kanal sayısı ve aydınlatma tasarımı.</t>
  </si>
  <si>
    <t xml:space="preserve">İklimlendirme</t>
  </si>
  <si>
    <t xml:space="preserve">Isıtma tipi (yerden ısıtma, radyatör, ısı pompası, kombi)? Klima tipi (split, VRF, fan-coil) ve markası? Oda bazlı kontrol isteniyor mu?</t>
  </si>
  <si>
    <t xml:space="preserve">Termostat, vana aktörü sayısı ve HVAC gateway (marka uyumu) seçimi.</t>
  </si>
  <si>
    <t xml:space="preserve">Perde / panjur / tente</t>
  </si>
  <si>
    <t xml:space="preserve">Motorlu perde, stor, panjur, tente var mı, kaç adet? Güneşe ve rüzgâra göre otomatik çalışsın mı?</t>
  </si>
  <si>
    <t xml:space="preserve">Perde aktörü kanal sayısı ve hava durumu istasyonu ihtiyacı.</t>
  </si>
  <si>
    <t xml:space="preserve">Orta</t>
  </si>
  <si>
    <t xml:space="preserve">Güvenlik</t>
  </si>
  <si>
    <t xml:space="preserve">Alarm sistemi var mı / marka? Kamera sayısı, kayıt süresi? Görüntülü diyafon, bahçe ve garaj kapısı, kartlı/parmak izli giriş?</t>
  </si>
  <si>
    <t xml:space="preserve">Güvenlik entegrasyon protokolü, NVR ve kamera altyapısı.</t>
  </si>
  <si>
    <t xml:space="preserve">Teknik alarmlar</t>
  </si>
  <si>
    <t xml:space="preserve">Gaz, duman, su baskını, CO dedektörü istensin mi? Otomatik su/gaz kesme vanası?</t>
  </si>
  <si>
    <t xml:space="preserve">Hayati güvenlik ekipmanları – SCADA'dan bağımsız da çalışmalı.</t>
  </si>
  <si>
    <t xml:space="preserve">Enerji</t>
  </si>
  <si>
    <t xml:space="preserve">GES (güneş paneli), akü, jeneratör, elektrikli araç şarjı var mı / planlanıyor mu? Tüketim raporu isteniyor mu?</t>
  </si>
  <si>
    <t xml:space="preserve">Enerji analizörü sayısı, inverter entegrasyonu, yük atma senaryoları.</t>
  </si>
  <si>
    <t xml:space="preserve">Su, bahçe, havuz</t>
  </si>
  <si>
    <t xml:space="preserve">Hidrofor, su deposu, boyler? Bahçe sulama bölge sayısı? Havuz, spa, sauna, hamam var mı?</t>
  </si>
  <si>
    <t xml:space="preserve">Teknik hacim PLC'si ve I/O sayısı.</t>
  </si>
  <si>
    <t xml:space="preserve">Multimedya</t>
  </si>
  <si>
    <t xml:space="preserve">Çok odalı müzik, sinema odası, TV entegrasyonu isteniyor mu? Mevcut marka (Sonos vb.)?</t>
  </si>
  <si>
    <t xml:space="preserve">AV entegrasyonu veya ayrı AV kontrolcüsü ihtiyacı.</t>
  </si>
  <si>
    <t xml:space="preserve">Düşük</t>
  </si>
  <si>
    <t xml:space="preserve">Arayüz ve kontrol</t>
  </si>
  <si>
    <t xml:space="preserve">Duvar paneli kaç adet ve nereye? Mobil uygulama, sesli asistan (Alexa/Google) isteniyor mu? Klasik anahtarlar kalsın mı?</t>
  </si>
  <si>
    <t xml:space="preserve">Panel sayısı, SCADA istemci lisansı ve tuş takımı seçimi.</t>
  </si>
  <si>
    <t xml:space="preserve">Senaryolar</t>
  </si>
  <si>
    <t xml:space="preserve">Evden çıkış, eve geliş, gece, tatil, misafir, sinema gibi hangi modlar isteniyor?</t>
  </si>
  <si>
    <t xml:space="preserve">Programlama saatini ve kullanıcı memnuniyetini doğrudan belirler.</t>
  </si>
  <si>
    <t xml:space="preserve">Ağ ve uzaktan erişim</t>
  </si>
  <si>
    <t xml:space="preserve">İnternet altyapısı (fiber)? Wi-Fi kapsaması yeterli mi? Uzaktan erişim kimler için? Teknik destek uzaktan yapılabilir mi?</t>
  </si>
  <si>
    <t xml:space="preserve">Rack, switch, firewall, VPN ve siber güvenlik kapsamı.</t>
  </si>
  <si>
    <t xml:space="preserve">Takvim ve süreç</t>
  </si>
  <si>
    <t xml:space="preserve">Taşınma tarihi? Elektrik yüklenicisi ile koordinasyonu kim yapacak? Kablo çekimi bizde mi?</t>
  </si>
  <si>
    <t xml:space="preserve">İş programı ve kapsam sınırları (kablo tesisatı dahil/hariç).</t>
  </si>
  <si>
    <t xml:space="preserve">Bakım ve destek</t>
  </si>
  <si>
    <t xml:space="preserve">Garanti sonrası yıllık bakım sözleşmesi isteniyor mu? Müdahale süresi beklentisi?</t>
  </si>
  <si>
    <t xml:space="preserve">Yıllık tekrar eden gelir ve servis seviyesi (SLA).</t>
  </si>
  <si>
    <t xml:space="preserve">Donanım Seçim Tablosu</t>
  </si>
  <si>
    <t xml:space="preserve">Her alt sistem için bütçe seviyesine göre seçenekler. Marka örnekleri gösterge amaçlıdır; Wection sürücü listesiyle uyumu kontrol edin.</t>
  </si>
  <si>
    <t xml:space="preserve">Alt Sistem</t>
  </si>
  <si>
    <t xml:space="preserve">Ekonomik</t>
  </si>
  <si>
    <t xml:space="preserve">Premium</t>
  </si>
  <si>
    <t xml:space="preserve">Protokol (SCADA bağlantısı)</t>
  </si>
  <si>
    <t xml:space="preserve">Dikkat / Tavsiye</t>
  </si>
  <si>
    <t xml:space="preserve">Seçilen (müşteri)</t>
  </si>
  <si>
    <t xml:space="preserve">Ana kontrol omurgası</t>
  </si>
  <si>
    <t xml:space="preserve">PLC tabanlı (Delta, Siemens S7-1200) + röle çıkışları</t>
  </si>
  <si>
    <t xml:space="preserve">KNX (ABB, Schneider, Hager) + KNX IP Router</t>
  </si>
  <si>
    <t xml:space="preserve">KNX premium seri (Gira, Jung, Basalte tuşlar) + yedekli IP router</t>
  </si>
  <si>
    <t xml:space="preserve">KNX/IP veya Modbus TCP</t>
  </si>
  <si>
    <t xml:space="preserve">KNX yeni yapılarda standart ve sağlayıcıdan bağımsızdır. PLC daha ucuzdur ama servis bağımlılığı yaratır.</t>
  </si>
  <si>
    <t xml:space="preserve">Röle aktörü (aç/kapa)</t>
  </si>
  <si>
    <t xml:space="preserve">KNX röle + dimmer aktörü</t>
  </si>
  <si>
    <t xml:space="preserve">DALI-2 / DALI DT8 (renk sıcaklığı) + KNX-DALI gateway</t>
  </si>
  <si>
    <t xml:space="preserve">KNX / DALI üzerinden KNX</t>
  </si>
  <si>
    <t xml:space="preserve">Armatür sürücülerinin dimlenebilir (DALI/faz kesme) olduğunu elektrik projesinde doğrulayın.</t>
  </si>
  <si>
    <t xml:space="preserve">Tuş takımları / anahtarlar</t>
  </si>
  <si>
    <t xml:space="preserve">Klasik anahtar + PLC girişi</t>
  </si>
  <si>
    <t xml:space="preserve">KNX çok fonksiyonlu tuş (termostatlı)</t>
  </si>
  <si>
    <t xml:space="preserve">Tasarım tuşlar (Basalte, Gira E2/Esprit)</t>
  </si>
  <si>
    <t xml:space="preserve">KNX</t>
  </si>
  <si>
    <t xml:space="preserve">Müşterinin görüp seçmesi için numune gösterin – en çok görülen parça budur.</t>
  </si>
  <si>
    <t xml:space="preserve">Oda termostatı + zon vanası (PLC)</t>
  </si>
  <si>
    <t xml:space="preserve">KNX termostat + ısıtma aktörü + klima gateway</t>
  </si>
  <si>
    <t xml:space="preserve">KNX + VRF tam entegrasyon (Intesis/CoolMaster) + nem/CO₂ kontrolü</t>
  </si>
  <si>
    <t xml:space="preserve">KNX, Modbus, BACnet</t>
  </si>
  <si>
    <t xml:space="preserve">Klima markasının gateway desteğini keşifte netleştirin.</t>
  </si>
  <si>
    <t xml:space="preserve">Perde / panjur</t>
  </si>
  <si>
    <t xml:space="preserve">Motor + röle (PLC)</t>
  </si>
  <si>
    <t xml:space="preserve">KNX perde aktörü</t>
  </si>
  <si>
    <t xml:space="preserve">KNX/ Somfy RTS-IO entegrasyonu + hava istasyonu</t>
  </si>
  <si>
    <t xml:space="preserve">KNX / RS485</t>
  </si>
  <si>
    <t xml:space="preserve">Motor tipini (AC/DC, kablolu/radyo) perde firmasıyla birlikte seçin.</t>
  </si>
  <si>
    <t xml:space="preserve">Sensörler</t>
  </si>
  <si>
    <t xml:space="preserve">Basit PIR, kontak</t>
  </si>
  <si>
    <t xml:space="preserve">KNX hareket/doluluk sensörü</t>
  </si>
  <si>
    <t xml:space="preserve">Doluluk + lüks + sıcaklık + CO₂ çok sensör</t>
  </si>
  <si>
    <t xml:space="preserve">Banyo ve koridorlarda doluluk sensörü enerji ve konfor için en verimli yatırımdır.</t>
  </si>
  <si>
    <t xml:space="preserve">Güvenlik / alarm</t>
  </si>
  <si>
    <t xml:space="preserve">Kablosuz alarm (Ajax, Paradox)</t>
  </si>
  <si>
    <t xml:space="preserve">Kablolu panel + KNX/röle entegrasyonu</t>
  </si>
  <si>
    <t xml:space="preserve">Bosch / Honeywell + tam SCADA entegrasyonu</t>
  </si>
  <si>
    <t xml:space="preserve">Kuru kontak, Modbus, SIA/IP</t>
  </si>
  <si>
    <t xml:space="preserve">Alarm paneli sertifikalı ve bağımsız çalışmalı; SCADA yalnızca izler ve senaryo tetikler.</t>
  </si>
  <si>
    <t xml:space="preserve">Kamera / NVR</t>
  </si>
  <si>
    <t xml:space="preserve">Hikvision / Dahua giriş seri</t>
  </si>
  <si>
    <t xml:space="preserve">Hikvision / Dahua AI seri + NVR</t>
  </si>
  <si>
    <t xml:space="preserve">Axis / Hanwha + VMS</t>
  </si>
  <si>
    <t xml:space="preserve">RTSP / ONVIF</t>
  </si>
  <si>
    <t xml:space="preserve">SCADA ekranında görüntü için RTSP desteğini kontrol edin.</t>
  </si>
  <si>
    <t xml:space="preserve">Diyafon / erişim</t>
  </si>
  <si>
    <t xml:space="preserve">IP diyafon (Hikvision)</t>
  </si>
  <si>
    <t xml:space="preserve">2N / Akuvox IP diyafon</t>
  </si>
  <si>
    <t xml:space="preserve">2N + kartlı/parmak izi + plaka tanıma</t>
  </si>
  <si>
    <t xml:space="preserve">SIP / röle</t>
  </si>
  <si>
    <t xml:space="preserve">Kapı açma yetkilerini SCADA kullanıcı rolleriyle eşleştirin.</t>
  </si>
  <si>
    <t xml:space="preserve">Bağımsız gaz/su dedektörleri</t>
  </si>
  <si>
    <t xml:space="preserve">Dedektör + solenoid vana + SCADA alarmı</t>
  </si>
  <si>
    <t xml:space="preserve">Adresli yangın paneli entegrasyonu</t>
  </si>
  <si>
    <t xml:space="preserve">Kuru kontak / Modbus</t>
  </si>
  <si>
    <t xml:space="preserve">Vana kesme yerel olarak çalışmalı, SCADA'ya bağlı olmamalı.</t>
  </si>
  <si>
    <t xml:space="preserve">Enerji izleme</t>
  </si>
  <si>
    <t xml:space="preserve">Ana pano 1 analizör (Entes, Klemsan)</t>
  </si>
  <si>
    <t xml:space="preserve">Ana + linye analizörleri</t>
  </si>
  <si>
    <t xml:space="preserve">Linye bazlı ölçüm + GES/inverter + EV şarj yük yönetimi</t>
  </si>
  <si>
    <t xml:space="preserve">Modbus RTU/TCP</t>
  </si>
  <si>
    <t xml:space="preserve">Akım trafolarını pano imalatında öngörün.</t>
  </si>
  <si>
    <t xml:space="preserve">Teknik hacim (havuz, sulama, hidrofor)</t>
  </si>
  <si>
    <t xml:space="preserve">Zaman rölesi / bağımsız kontrol</t>
  </si>
  <si>
    <t xml:space="preserve">Kompakt PLC (Delta / S7-1200)</t>
  </si>
  <si>
    <t xml:space="preserve">PLC + havuz kimyası (pH/Cl) ölçümü</t>
  </si>
  <si>
    <t xml:space="preserve">Modbus TCP / S7</t>
  </si>
  <si>
    <t xml:space="preserve">Havuz firmasının kendi kontrolcüsünün Modbus desteği varsa onu kullanın.</t>
  </si>
  <si>
    <t xml:space="preserve">Yok / bağımsız</t>
  </si>
  <si>
    <t xml:space="preserve">Sonos vb. IP entegrasyonu</t>
  </si>
  <si>
    <t xml:space="preserve">AV kontrolcüsü (Crestron/Control4 köprüsü)</t>
  </si>
  <si>
    <t xml:space="preserve">IP / API</t>
  </si>
  <si>
    <t xml:space="preserve">SCADA her AV cihazını sürmeyebilir – kapsamı netleştirin.</t>
  </si>
  <si>
    <t xml:space="preserve">Kullanıcı arayüzü</t>
  </si>
  <si>
    <t xml:space="preserve">Mobil / tablet (web istemcisi)</t>
  </si>
  <si>
    <t xml:space="preserve">1–2 adet 10" duvar paneli + mobil</t>
  </si>
  <si>
    <t xml:space="preserve">Her katta panel + giriş paneli + sesli asistan</t>
  </si>
  <si>
    <t xml:space="preserve">Wection istemci / web</t>
  </si>
  <si>
    <t xml:space="preserve">Wection istemci lisans sayısını ve mobil desteğini teyit edin.</t>
  </si>
  <si>
    <t xml:space="preserve">SCADA sunucusu</t>
  </si>
  <si>
    <t xml:space="preserve">Mini PC</t>
  </si>
  <si>
    <t xml:space="preserve">Endüstriyel fansız PC</t>
  </si>
  <si>
    <t xml:space="preserve">Endüstriyel PC + yedek (redundant) + otomatik yedekleme</t>
  </si>
  <si>
    <t xml:space="preserve">—</t>
  </si>
  <si>
    <t xml:space="preserve">7/24 çalışacağı için fansız, SSD'li cihaz seçin.</t>
  </si>
  <si>
    <t xml:space="preserve">Ağ altyapısı</t>
  </si>
  <si>
    <t xml:space="preserve">Tek switch + modem</t>
  </si>
  <si>
    <t xml:space="preserve">Yönetilebilir switch + otomasyon VLAN + Wi-Fi AP'ler</t>
  </si>
  <si>
    <t xml:space="preserve">Ubiquiti/Cisco + firewall + VPN + ayrı kamera ağı</t>
  </si>
  <si>
    <t xml:space="preserve">Ethernet</t>
  </si>
  <si>
    <t xml:space="preserve">SCADA portunu internete açmayın; uzaktan erişim yalnızca VPN ile.</t>
  </si>
  <si>
    <t xml:space="preserve">Enerji sürekliliği</t>
  </si>
  <si>
    <t xml:space="preserve">UPS (sunucu + switch)</t>
  </si>
  <si>
    <t xml:space="preserve">UPS (otomasyon panosu dahil)</t>
  </si>
  <si>
    <t xml:space="preserve">Online UPS + jeneratör/akü entegrasyonu</t>
  </si>
  <si>
    <t xml:space="preserve">Modbus / SNMP</t>
  </si>
  <si>
    <t xml:space="preserve">Elektrik kesintisinde alarm ve kameralar çalışmaya devam etmeli.</t>
  </si>
  <si>
    <t xml:space="preserve">Uç Ekipman – Vana, Selenoid, Dedektör ve Sensörler</t>
  </si>
  <si>
    <t xml:space="preserve">Örnek 400 m² villa, orta seviye. Fiyatlar adet başına, EUR, KDV hariç, yaklaşık 2026 distribütör tahmini (±%30). Teklif öncesi distribütörden fiyat alın.</t>
  </si>
  <si>
    <t xml:space="preserve">Grup</t>
  </si>
  <si>
    <t xml:space="preserve">Ekipman</t>
  </si>
  <si>
    <t xml:space="preserve">Önerilen marka / seri (orta seviye)</t>
  </si>
  <si>
    <t xml:space="preserve">Alternatifler (ekonomik → premium)</t>
  </si>
  <si>
    <t xml:space="preserve">Protokol / çıkış</t>
  </si>
  <si>
    <t xml:space="preserve">Birim</t>
  </si>
  <si>
    <t xml:space="preserve">Miktar</t>
  </si>
  <si>
    <t xml:space="preserve">Birim Fiyat (EUR)</t>
  </si>
  <si>
    <t xml:space="preserve">Tutar (EUR)</t>
  </si>
  <si>
    <t xml:space="preserve">Fiyat aralığı (EUR)</t>
  </si>
  <si>
    <t xml:space="preserve">Not</t>
  </si>
  <si>
    <t xml:space="preserve">Vanalar</t>
  </si>
  <si>
    <t xml:space="preserve">Elektrotermik vana kafası 24V NC</t>
  </si>
  <si>
    <t xml:space="preserve">Danfoss TWA</t>
  </si>
  <si>
    <t xml:space="preserve">Çin muadili → Möhlenhoff Alpha, Siemens STA</t>
  </si>
  <si>
    <t xml:space="preserve">24V aç/kapa (KNX ısıtma aktörü)</t>
  </si>
  <si>
    <t xml:space="preserve">adet</t>
  </si>
  <si>
    <t xml:space="preserve">15 – 45</t>
  </si>
  <si>
    <t xml:space="preserve">Yerden ısıtma kollektör çıkışı başına 1</t>
  </si>
  <si>
    <t xml:space="preserve">Motorlu küresel vana aç/kapa 24V (DN15–25)</t>
  </si>
  <si>
    <t xml:space="preserve">Honeywell, Caleffi</t>
  </si>
  <si>
    <t xml:space="preserve">Yerli/Unox → Belimo, Siemens</t>
  </si>
  <si>
    <t xml:space="preserve">24V aç/kapa</t>
  </si>
  <si>
    <t xml:space="preserve">40 – 250</t>
  </si>
  <si>
    <t xml:space="preserve">Zon, fan-coil, boyler devreleri</t>
  </si>
  <si>
    <t xml:space="preserve">Motorlu oransal vana 0–10V</t>
  </si>
  <si>
    <t xml:space="preserve">Siemens</t>
  </si>
  <si>
    <t xml:space="preserve">ESBE → Belimo CCV</t>
  </si>
  <si>
    <t xml:space="preserve">0–10V</t>
  </si>
  <si>
    <t xml:space="preserve">200 – 450</t>
  </si>
  <si>
    <t xml:space="preserve">Karışım devresi; Kvs mekanik projeden</t>
  </si>
  <si>
    <t xml:space="preserve">Ana su kesme vanası 1" motorlu küresel, yay geri dönüşlü</t>
  </si>
  <si>
    <t xml:space="preserve">Belimo (içme suyu onaylı)</t>
  </si>
  <si>
    <t xml:space="preserve">Yerli motorlu → Grohe Sense Guard</t>
  </si>
  <si>
    <t xml:space="preserve">60 – 500</t>
  </si>
  <si>
    <t xml:space="preserve">Su baskınında otomatik kesme; solenoid kullanmayın</t>
  </si>
  <si>
    <t xml:space="preserve">Su solenoid vanası NC</t>
  </si>
  <si>
    <t xml:space="preserve">ODE, Danfoss EV220B</t>
  </si>
  <si>
    <t xml:space="preserve">Tork → Bürkert, Parker</t>
  </si>
  <si>
    <t xml:space="preserve">24V / 230V</t>
  </si>
  <si>
    <t xml:space="preserve">20 – 250</t>
  </si>
  <si>
    <t xml:space="preserve">Depo dolum vb. kısa süreli kullanım</t>
  </si>
  <si>
    <t xml:space="preserve">Sulama vanası 24VAC</t>
  </si>
  <si>
    <t xml:space="preserve">Hunter PGV</t>
  </si>
  <si>
    <t xml:space="preserve">Yerli → Rain Bird</t>
  </si>
  <si>
    <t xml:space="preserve">24VAC</t>
  </si>
  <si>
    <t xml:space="preserve">Sulama zonu başına 1</t>
  </si>
  <si>
    <t xml:space="preserve">Doğalgaz selenoid vanası, manuel resetli</t>
  </si>
  <si>
    <t xml:space="preserve">Madas</t>
  </si>
  <si>
    <t xml:space="preserve">Tork → Elektrogas, Dungs</t>
  </si>
  <si>
    <t xml:space="preserve">Dedektörden doğrudan</t>
  </si>
  <si>
    <t xml:space="preserve">30 – 150</t>
  </si>
  <si>
    <t xml:space="preserve">TSE/EN 161; gaz şirketi onayı ve yetkili tesisatçı</t>
  </si>
  <si>
    <t xml:space="preserve">Teknik alarm</t>
  </si>
  <si>
    <t xml:space="preserve">Gaz dedektörü (röle çıkışlı)</t>
  </si>
  <si>
    <t xml:space="preserve">Teknim</t>
  </si>
  <si>
    <t xml:space="preserve">Tork, Lorex → Honeywell, Dräger</t>
  </si>
  <si>
    <t xml:space="preserve">Röle / kuru kontak</t>
  </si>
  <si>
    <t xml:space="preserve">25 – 250</t>
  </si>
  <si>
    <t xml:space="preserve">Mutfak + kazan dairesi; vanayı doğrudan keser</t>
  </si>
  <si>
    <t xml:space="preserve">CO dedektörü</t>
  </si>
  <si>
    <t xml:space="preserve">Lorex → Honeywell</t>
  </si>
  <si>
    <t xml:space="preserve">Röle</t>
  </si>
  <si>
    <t xml:space="preserve">Kazan dairesi, şömine</t>
  </si>
  <si>
    <t xml:space="preserve">Su baskın sensörü (nokta tipi)</t>
  </si>
  <si>
    <t xml:space="preserve">Kuru kontak prob → Honeywell</t>
  </si>
  <si>
    <t xml:space="preserve">Kuru kontak</t>
  </si>
  <si>
    <t xml:space="preserve">15 – 60</t>
  </si>
  <si>
    <t xml:space="preserve">Banyolar, mutfak, teknik hacim</t>
  </si>
  <si>
    <t xml:space="preserve">Duman dedektörü (konvansiyonel)</t>
  </si>
  <si>
    <t xml:space="preserve">Bosch, Hager</t>
  </si>
  <si>
    <t xml:space="preserve">Teknim → Gira Dual Q (KNX)</t>
  </si>
  <si>
    <t xml:space="preserve">15 – 180</t>
  </si>
  <si>
    <t xml:space="preserve">Yatak odaları, koridorlar, teknik hacim</t>
  </si>
  <si>
    <t xml:space="preserve">Ortam / proses</t>
  </si>
  <si>
    <t xml:space="preserve">Sıcaklık + nem sensörü (dış ortam / teknik hacim)</t>
  </si>
  <si>
    <t xml:space="preserve">Thermokon</t>
  </si>
  <si>
    <t xml:space="preserve">Siemens QFA, MDT (KNX)</t>
  </si>
  <si>
    <t xml:space="preserve">Modbus / 0–10V</t>
  </si>
  <si>
    <t xml:space="preserve">50 – 200</t>
  </si>
  <si>
    <t xml:space="preserve">Oda sıcaklıkları KNX tuş takımından alınır</t>
  </si>
  <si>
    <t xml:space="preserve">CO₂ / hava kalitesi sensörü</t>
  </si>
  <si>
    <t xml:space="preserve">MDT (KNX)</t>
  </si>
  <si>
    <t xml:space="preserve">Thermokon → Siemens QPA</t>
  </si>
  <si>
    <t xml:space="preserve">150 – 350</t>
  </si>
  <si>
    <t xml:space="preserve">Salon, yatak odası; havalandırma kontrolü</t>
  </si>
  <si>
    <t xml:space="preserve">Kapı / pencere manyetik kontak</t>
  </si>
  <si>
    <t xml:space="preserve">Teknim → Bosch, Honeywell</t>
  </si>
  <si>
    <t xml:space="preserve">3 – 15</t>
  </si>
  <si>
    <t xml:space="preserve">Alarm + pencere açıkken klimayı kapatma</t>
  </si>
  <si>
    <t xml:space="preserve">Yağmur / toprak nem sensörü</t>
  </si>
  <si>
    <t xml:space="preserve">Hunter</t>
  </si>
  <si>
    <t xml:space="preserve">Hunter → Rain Bird</t>
  </si>
  <si>
    <t xml:space="preserve">Sulama iptali</t>
  </si>
  <si>
    <t xml:space="preserve">Depo seviye sensörü (hidrostatik)</t>
  </si>
  <si>
    <t xml:space="preserve">Wika</t>
  </si>
  <si>
    <t xml:space="preserve">Şamandıra → Keller</t>
  </si>
  <si>
    <t xml:space="preserve">4–20mA</t>
  </si>
  <si>
    <t xml:space="preserve">10 – 300</t>
  </si>
  <si>
    <t xml:space="preserve">Su deposu</t>
  </si>
  <si>
    <t xml:space="preserve">Basınç transmitteri</t>
  </si>
  <si>
    <t xml:space="preserve">Danfoss MBS</t>
  </si>
  <si>
    <t xml:space="preserve">Huba → Wika</t>
  </si>
  <si>
    <t xml:space="preserve">60 – 200</t>
  </si>
  <si>
    <t xml:space="preserve">Hidrofor / tesisat basıncı</t>
  </si>
  <si>
    <t xml:space="preserve">Su / ısı sayacı (M-Bus / Modbus)</t>
  </si>
  <si>
    <t xml:space="preserve">Diehl, Sontex</t>
  </si>
  <si>
    <t xml:space="preserve">Diehl → Kamstrup</t>
  </si>
  <si>
    <t xml:space="preserve">M-Bus / Modbus</t>
  </si>
  <si>
    <t xml:space="preserve">100 – 300</t>
  </si>
  <si>
    <t xml:space="preserve">Şebeke + sıcak su</t>
  </si>
  <si>
    <t xml:space="preserve">Havuz pH / klor ölçüm-dozaj</t>
  </si>
  <si>
    <t xml:space="preserve">Seko</t>
  </si>
  <si>
    <t xml:space="preserve">Etatron → Bayrol</t>
  </si>
  <si>
    <t xml:space="preserve">Modbus / analog</t>
  </si>
  <si>
    <t xml:space="preserve">set</t>
  </si>
  <si>
    <t xml:space="preserve">500 – 2.000</t>
  </si>
  <si>
    <t xml:space="preserve">Havuz varsa miktarı 1 yapın</t>
  </si>
  <si>
    <t xml:space="preserve">Entegrasyon</t>
  </si>
  <si>
    <t xml:space="preserve">KNX binary input 8 kanal (kuru kontaklar için)</t>
  </si>
  <si>
    <t xml:space="preserve">MDT</t>
  </si>
  <si>
    <t xml:space="preserve">MDT → ABB, Gira</t>
  </si>
  <si>
    <t xml:space="preserve">100 – 200</t>
  </si>
  <si>
    <t xml:space="preserve">~48 kuru kontak giriş; kontak sayısına göre güncelleyin</t>
  </si>
  <si>
    <t xml:space="preserve">24V güç kaynağı (vana ve sensörler)</t>
  </si>
  <si>
    <t xml:space="preserve">Mean Well</t>
  </si>
  <si>
    <t xml:space="preserve">Mean Well → Phoenix Contact</t>
  </si>
  <si>
    <t xml:space="preserve">Saha klemensi, ara röle, bağlantı aksesuarı</t>
  </si>
  <si>
    <t xml:space="preserve">Phoenix, Weidmüller</t>
  </si>
  <si>
    <t xml:space="preserve">150 – 500</t>
  </si>
  <si>
    <t xml:space="preserve">UÇ EKİPMAN TOPLAMI (Ücretlendirme sayfasına aktarılır)</t>
  </si>
  <si>
    <t xml:space="preserve">Not: KNX hareket sensörleri, hava durumu istasyonu ve enerji analizörleri Ücretlendirme sayfasında ayrıca yer alır; burada tekrar sayılmamıştır.</t>
  </si>
  <si>
    <t xml:space="preserve">Ücretlendirme – Örnek 400 m² Villa (Orta seviye, KNX tabanlı)</t>
  </si>
  <si>
    <t xml:space="preserve">Fiyatlar EUR, KDV hariç, yaklaşık 2026 tahmini. Mavi değerleri keşfe göre güncelleyin.</t>
  </si>
  <si>
    <t xml:space="preserve">VARSAYIMLAR</t>
  </si>
  <si>
    <t xml:space="preserve">EUR/TL kuru</t>
  </si>
  <si>
    <t xml:space="preserve">Yer tutucu – teklif günü güncel kuru girin.</t>
  </si>
  <si>
    <t xml:space="preserve">Donanım kâr marjı</t>
  </si>
  <si>
    <t xml:space="preserve">Maliyet üzerine eklenen marj.</t>
  </si>
  <si>
    <t xml:space="preserve">Mühendislik saat ücreti (EUR)</t>
  </si>
  <si>
    <t xml:space="preserve">Programlama/devreye alma saat ücreti – kendi ücretinizi girin.</t>
  </si>
  <si>
    <t xml:space="preserve">Beklenmedik giderler payı</t>
  </si>
  <si>
    <t xml:space="preserve">Keşif belirsizliği için.</t>
  </si>
  <si>
    <t xml:space="preserve">KDV oranı</t>
  </si>
  <si>
    <t xml:space="preserve">Türkiye genel KDV oranı.</t>
  </si>
  <si>
    <t xml:space="preserve">Yıllık bakım oranı</t>
  </si>
  <si>
    <t xml:space="preserve">Proje bedeli (KDV hariç) üzerinden yıllık bakım sözleşmesi.</t>
  </si>
  <si>
    <t xml:space="preserve">Kategori</t>
  </si>
  <si>
    <t xml:space="preserve">Kalem</t>
  </si>
  <si>
    <t xml:space="preserve">Donanım</t>
  </si>
  <si>
    <t xml:space="preserve">KNX güç kaynağı 640 mA</t>
  </si>
  <si>
    <t xml:space="preserve">KNX IP router</t>
  </si>
  <si>
    <t xml:space="preserve">KNX röle aktörü 8 kanal</t>
  </si>
  <si>
    <t xml:space="preserve">~48 aç/kapa devre</t>
  </si>
  <si>
    <t xml:space="preserve">KNX dimmer aktörü 4 kanal</t>
  </si>
  <si>
    <t xml:space="preserve">~16 dimmer devre</t>
  </si>
  <si>
    <t xml:space="preserve">KNX perde aktörü 4 kanal</t>
  </si>
  <si>
    <t xml:space="preserve">~16 perde/panjur</t>
  </si>
  <si>
    <t xml:space="preserve">KNX tuş takımı (termostatlı)</t>
  </si>
  <si>
    <t xml:space="preserve">Oda başına 1</t>
  </si>
  <si>
    <t xml:space="preserve">KNX hareket / doluluk sensörü</t>
  </si>
  <si>
    <t xml:space="preserve">KNX ısıtma aktörü 6 kanal</t>
  </si>
  <si>
    <t xml:space="preserve">Vana kafaları Uç Ekipman sayfasında</t>
  </si>
  <si>
    <t xml:space="preserve">Klima / VRF gateway</t>
  </si>
  <si>
    <t xml:space="preserve">Klima markasına göre</t>
  </si>
  <si>
    <t xml:space="preserve">Hava durumu istasyonu</t>
  </si>
  <si>
    <t xml:space="preserve">Tente/perde otomasyonu</t>
  </si>
  <si>
    <t xml:space="preserve">Teknik hacim PLC + I/O (havuz, sulama, hidrofor)</t>
  </si>
  <si>
    <t xml:space="preserve">Enerji analizörü (Modbus) + akım trafoları</t>
  </si>
  <si>
    <t xml:space="preserve">Ana + linyeler</t>
  </si>
  <si>
    <t xml:space="preserve">Dokunmatik duvar paneli 10"</t>
  </si>
  <si>
    <t xml:space="preserve">SCADA sunucusu (endüstriyel fansız PC)</t>
  </si>
  <si>
    <t xml:space="preserve">Wection SCADA lisansı (sunucu + istemciler)</t>
  </si>
  <si>
    <t xml:space="preserve">YER TUTUCU – distribütörden teklif alın</t>
  </si>
  <si>
    <t xml:space="preserve">Ağ: yönetilebilir switch, firewall, rack, Wi-Fi AP</t>
  </si>
  <si>
    <t xml:space="preserve">UPS 2 kVA</t>
  </si>
  <si>
    <t xml:space="preserve">Otomasyon panosu (kabin, sigorta, klemens, aksesuar)</t>
  </si>
  <si>
    <t xml:space="preserve">Uç ekipman: vana, selenoid, dedektör, sensör</t>
  </si>
  <si>
    <t xml:space="preserve">Uç Ekipman sayfasından otomatik gelir</t>
  </si>
  <si>
    <t xml:space="preserve">Donanım maliyeti toplamı</t>
  </si>
  <si>
    <t xml:space="preserve">Donanım satış bedeli (marj dahil)</t>
  </si>
  <si>
    <t xml:space="preserve">Miktar (saat)</t>
  </si>
  <si>
    <t xml:space="preserve">Saat Ücreti (EUR)</t>
  </si>
  <si>
    <t xml:space="preserve">Hizmet</t>
  </si>
  <si>
    <t xml:space="preserve">Keşif ve ihtiyaç analizi</t>
  </si>
  <si>
    <t xml:space="preserve">saat</t>
  </si>
  <si>
    <t xml:space="preserve">Proje, I/O ve tag listesi, tek hat şeması</t>
  </si>
  <si>
    <t xml:space="preserve">Pano imalatı ve montaj</t>
  </si>
  <si>
    <t xml:space="preserve">KNX / PLC programlama</t>
  </si>
  <si>
    <t xml:space="preserve">Wection SCADA HMI ekran tasarımı</t>
  </si>
  <si>
    <t xml:space="preserve">Kat planı, oda ekranları, trendler</t>
  </si>
  <si>
    <t xml:space="preserve">Senaryo, alarm ve kullanıcı yetki tanımları</t>
  </si>
  <si>
    <t xml:space="preserve">Saha devreye alma ve test</t>
  </si>
  <si>
    <t xml:space="preserve">Kullanıcı eğitimi ve dokümantasyon</t>
  </si>
  <si>
    <t xml:space="preserve">As-built, kullanım kılavuzu</t>
  </si>
  <si>
    <t xml:space="preserve">Hizmet toplamı</t>
  </si>
  <si>
    <t xml:space="preserve">Opsiyonel</t>
  </si>
  <si>
    <t xml:space="preserve">Zayıf akım kablolama (KNX, data, sensör)</t>
  </si>
  <si>
    <t xml:space="preserve">m²</t>
  </si>
  <si>
    <t xml:space="preserve">Elektrik yüklenicisinde ise 0 bırakın; dahilse villa m²'sini girin</t>
  </si>
  <si>
    <t xml:space="preserve">ÖZET</t>
  </si>
  <si>
    <t xml:space="preserve">Donanım (marj dahil)</t>
  </si>
  <si>
    <t xml:space="preserve">Opsiyonel kablolama</t>
  </si>
  <si>
    <t xml:space="preserve">Proje bedeli (KDV hariç)</t>
  </si>
  <si>
    <t xml:space="preserve">KDV</t>
  </si>
  <si>
    <t xml:space="preserve">GENEL TOPLAM (EUR, KDV dahil)</t>
  </si>
  <si>
    <t xml:space="preserve">GENEL TOPLAM (TL, KDV dahil)</t>
  </si>
  <si>
    <t xml:space="preserve">m² başına maliyet (EUR, KDV hariç)</t>
  </si>
  <si>
    <t xml:space="preserve">Villa m²:</t>
  </si>
  <si>
    <t xml:space="preserve">Donanım marjı + hizmet geliri (işçilik maliyeti düşülmemiş)</t>
  </si>
  <si>
    <t xml:space="preserve">Yıllık bakım sözleşmesi önerisi (EUR, KDV hariç)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</si>
</sst>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#,##0.00"/>
    <numFmt numFmtId="167" formatCode="0.0%"/>
    <numFmt numFmtId="168" formatCode="#,##0"/>
    <numFmt numFmtId="169" formatCode="#,##0&quot; ₺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23.85" hidden="false" customHeight="false" outlineLevel="0" collapsed="false">
      <c r="A6" s="5" t="s">
        <v>6</v>
      </c>
      <c r="B6" s="6" t="s">
        <v>7</v>
      </c>
    </row>
    <row r="7" customFormat="false" ht="23.8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5" t="s">
        <v>10</v>
      </c>
      <c r="B8" s="6" t="s">
        <v>11</v>
      </c>
    </row>
    <row r="9" customFormat="false" ht="15" hidden="false" customHeight="false" outlineLevel="0" collapsed="false">
      <c r="A9" s="5"/>
      <c r="B9" s="6"/>
    </row>
    <row r="10" customFormat="false" ht="15" hidden="false" customHeight="false" outlineLevel="0" collapsed="false">
      <c r="A10" s="5" t="s">
        <v>12</v>
      </c>
      <c r="B10" s="6"/>
    </row>
    <row r="11" customFormat="false" ht="15" hidden="false" customHeight="false" outlineLevel="0" collapsed="false">
      <c r="A11" s="7" t="s">
        <v>13</v>
      </c>
      <c r="B11" s="6" t="s">
        <v>14</v>
      </c>
    </row>
    <row r="12" customFormat="false" ht="15" hidden="false" customHeight="false" outlineLevel="0" collapsed="false">
      <c r="A12" s="8" t="s">
        <v>15</v>
      </c>
      <c r="B12" s="6" t="s">
        <v>16</v>
      </c>
    </row>
    <row r="13" customFormat="false" ht="15" hidden="false" customHeight="false" outlineLevel="0" collapsed="false">
      <c r="A13" s="9" t="s">
        <v>17</v>
      </c>
      <c r="B13" s="6" t="s">
        <v>18</v>
      </c>
    </row>
    <row r="14" customFormat="false" ht="15" hidden="false" customHeight="false" outlineLevel="0" collapsed="false">
      <c r="A14" s="5" t="s">
        <v>19</v>
      </c>
      <c r="B14" s="6" t="s">
        <v>20</v>
      </c>
    </row>
    <row r="15" customFormat="false" ht="15" hidden="false" customHeight="false" outlineLevel="0" collapsed="false">
      <c r="A15" s="10" t="s">
        <v>21</v>
      </c>
      <c r="B15" s="6" t="s">
        <v>22</v>
      </c>
    </row>
    <row r="16" customFormat="false" ht="15" hidden="false" customHeight="false" outlineLevel="0" collapsed="false">
      <c r="A16" s="5"/>
      <c r="B16" s="6"/>
    </row>
    <row r="17" customFormat="false" ht="23.85" hidden="false" customHeight="false" outlineLevel="0" collapsed="false">
      <c r="A17" s="11" t="s">
        <v>23</v>
      </c>
      <c r="B17" s="6" t="s">
        <v>24</v>
      </c>
    </row>
    <row r="18" customFormat="false" ht="15" hidden="false" customHeight="false" outlineLevel="0" collapsed="false">
      <c r="A18" s="5" t="s">
        <v>25</v>
      </c>
      <c r="B18" s="6" t="s">
        <v>26</v>
      </c>
    </row>
    <row r="19" customFormat="false" ht="23.85" hidden="false" customHeight="false" outlineLevel="0" collapsed="false">
      <c r="A19" s="5" t="s">
        <v>27</v>
      </c>
      <c r="B19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12" t="s">
        <v>31</v>
      </c>
      <c r="B4" s="12" t="s">
        <v>32</v>
      </c>
      <c r="C4" s="12" t="s">
        <v>33</v>
      </c>
      <c r="D4" s="12" t="s">
        <v>34</v>
      </c>
      <c r="E4" s="12" t="s">
        <v>35</v>
      </c>
      <c r="F4" s="12" t="s">
        <v>36</v>
      </c>
    </row>
    <row r="5" customFormat="false" ht="61.5" hidden="false" customHeight="true" outlineLevel="0" collapsed="false">
      <c r="A5" s="13" t="n">
        <v>1</v>
      </c>
      <c r="B5" s="14" t="s">
        <v>37</v>
      </c>
      <c r="C5" s="15" t="s">
        <v>38</v>
      </c>
      <c r="D5" s="15" t="s">
        <v>39</v>
      </c>
      <c r="E5" s="15" t="s">
        <v>40</v>
      </c>
      <c r="F5" s="16"/>
    </row>
    <row r="6" customFormat="false" ht="61.5" hidden="false" customHeight="true" outlineLevel="0" collapsed="false">
      <c r="A6" s="13" t="n">
        <v>2</v>
      </c>
      <c r="B6" s="14" t="s">
        <v>41</v>
      </c>
      <c r="C6" s="15" t="s">
        <v>42</v>
      </c>
      <c r="D6" s="15" t="s">
        <v>43</v>
      </c>
      <c r="E6" s="15" t="s">
        <v>40</v>
      </c>
      <c r="F6" s="16"/>
    </row>
    <row r="7" customFormat="false" ht="61.5" hidden="false" customHeight="true" outlineLevel="0" collapsed="false">
      <c r="A7" s="13" t="n">
        <v>3</v>
      </c>
      <c r="B7" s="14" t="s">
        <v>44</v>
      </c>
      <c r="C7" s="15" t="s">
        <v>45</v>
      </c>
      <c r="D7" s="15" t="s">
        <v>46</v>
      </c>
      <c r="E7" s="15" t="s">
        <v>40</v>
      </c>
      <c r="F7" s="16"/>
    </row>
    <row r="8" customFormat="false" ht="61.5" hidden="false" customHeight="true" outlineLevel="0" collapsed="false">
      <c r="A8" s="13" t="n">
        <v>4</v>
      </c>
      <c r="B8" s="14" t="s">
        <v>47</v>
      </c>
      <c r="C8" s="15" t="s">
        <v>48</v>
      </c>
      <c r="D8" s="15" t="s">
        <v>49</v>
      </c>
      <c r="E8" s="15" t="s">
        <v>40</v>
      </c>
      <c r="F8" s="16"/>
    </row>
    <row r="9" customFormat="false" ht="61.5" hidden="false" customHeight="true" outlineLevel="0" collapsed="false">
      <c r="A9" s="13" t="n">
        <v>5</v>
      </c>
      <c r="B9" s="14" t="s">
        <v>50</v>
      </c>
      <c r="C9" s="15" t="s">
        <v>51</v>
      </c>
      <c r="D9" s="15" t="s">
        <v>52</v>
      </c>
      <c r="E9" s="15" t="s">
        <v>40</v>
      </c>
      <c r="F9" s="16"/>
    </row>
    <row r="10" customFormat="false" ht="61.5" hidden="false" customHeight="true" outlineLevel="0" collapsed="false">
      <c r="A10" s="13" t="n">
        <v>6</v>
      </c>
      <c r="B10" s="14" t="s">
        <v>53</v>
      </c>
      <c r="C10" s="15" t="s">
        <v>54</v>
      </c>
      <c r="D10" s="15" t="s">
        <v>55</v>
      </c>
      <c r="E10" s="15" t="s">
        <v>56</v>
      </c>
      <c r="F10" s="16"/>
    </row>
    <row r="11" customFormat="false" ht="61.5" hidden="false" customHeight="true" outlineLevel="0" collapsed="false">
      <c r="A11" s="13" t="n">
        <v>7</v>
      </c>
      <c r="B11" s="14" t="s">
        <v>57</v>
      </c>
      <c r="C11" s="15" t="s">
        <v>58</v>
      </c>
      <c r="D11" s="15" t="s">
        <v>59</v>
      </c>
      <c r="E11" s="15" t="s">
        <v>40</v>
      </c>
      <c r="F11" s="16"/>
    </row>
    <row r="12" customFormat="false" ht="61.5" hidden="false" customHeight="true" outlineLevel="0" collapsed="false">
      <c r="A12" s="13" t="n">
        <v>8</v>
      </c>
      <c r="B12" s="14" t="s">
        <v>60</v>
      </c>
      <c r="C12" s="15" t="s">
        <v>61</v>
      </c>
      <c r="D12" s="15" t="s">
        <v>62</v>
      </c>
      <c r="E12" s="15" t="s">
        <v>40</v>
      </c>
      <c r="F12" s="16"/>
    </row>
    <row r="13" customFormat="false" ht="61.5" hidden="false" customHeight="true" outlineLevel="0" collapsed="false">
      <c r="A13" s="13" t="n">
        <v>9</v>
      </c>
      <c r="B13" s="14" t="s">
        <v>63</v>
      </c>
      <c r="C13" s="15" t="s">
        <v>64</v>
      </c>
      <c r="D13" s="15" t="s">
        <v>65</v>
      </c>
      <c r="E13" s="15" t="s">
        <v>56</v>
      </c>
      <c r="F13" s="16"/>
    </row>
    <row r="14" customFormat="false" ht="61.5" hidden="false" customHeight="true" outlineLevel="0" collapsed="false">
      <c r="A14" s="13" t="n">
        <v>10</v>
      </c>
      <c r="B14" s="14" t="s">
        <v>66</v>
      </c>
      <c r="C14" s="15" t="s">
        <v>67</v>
      </c>
      <c r="D14" s="15" t="s">
        <v>68</v>
      </c>
      <c r="E14" s="15" t="s">
        <v>56</v>
      </c>
      <c r="F14" s="16"/>
    </row>
    <row r="15" customFormat="false" ht="61.5" hidden="false" customHeight="true" outlineLevel="0" collapsed="false">
      <c r="A15" s="13" t="n">
        <v>11</v>
      </c>
      <c r="B15" s="14" t="s">
        <v>69</v>
      </c>
      <c r="C15" s="15" t="s">
        <v>70</v>
      </c>
      <c r="D15" s="15" t="s">
        <v>71</v>
      </c>
      <c r="E15" s="15" t="s">
        <v>72</v>
      </c>
      <c r="F15" s="16"/>
    </row>
    <row r="16" customFormat="false" ht="61.5" hidden="false" customHeight="true" outlineLevel="0" collapsed="false">
      <c r="A16" s="13" t="n">
        <v>12</v>
      </c>
      <c r="B16" s="14" t="s">
        <v>73</v>
      </c>
      <c r="C16" s="15" t="s">
        <v>74</v>
      </c>
      <c r="D16" s="15" t="s">
        <v>75</v>
      </c>
      <c r="E16" s="15" t="s">
        <v>40</v>
      </c>
      <c r="F16" s="16"/>
    </row>
    <row r="17" customFormat="false" ht="61.5" hidden="false" customHeight="true" outlineLevel="0" collapsed="false">
      <c r="A17" s="13" t="n">
        <v>13</v>
      </c>
      <c r="B17" s="14" t="s">
        <v>76</v>
      </c>
      <c r="C17" s="15" t="s">
        <v>77</v>
      </c>
      <c r="D17" s="15" t="s">
        <v>78</v>
      </c>
      <c r="E17" s="15" t="s">
        <v>56</v>
      </c>
      <c r="F17" s="16"/>
    </row>
    <row r="18" customFormat="false" ht="61.5" hidden="false" customHeight="true" outlineLevel="0" collapsed="false">
      <c r="A18" s="13" t="n">
        <v>14</v>
      </c>
      <c r="B18" s="14" t="s">
        <v>79</v>
      </c>
      <c r="C18" s="15" t="s">
        <v>80</v>
      </c>
      <c r="D18" s="15" t="s">
        <v>81</v>
      </c>
      <c r="E18" s="15" t="s">
        <v>56</v>
      </c>
      <c r="F18" s="16"/>
    </row>
    <row r="19" customFormat="false" ht="61.5" hidden="false" customHeight="true" outlineLevel="0" collapsed="false">
      <c r="A19" s="13" t="n">
        <v>15</v>
      </c>
      <c r="B19" s="14" t="s">
        <v>82</v>
      </c>
      <c r="C19" s="15" t="s">
        <v>83</v>
      </c>
      <c r="D19" s="15" t="s">
        <v>84</v>
      </c>
      <c r="E19" s="15" t="s">
        <v>40</v>
      </c>
      <c r="F19" s="16"/>
    </row>
    <row r="20" customFormat="false" ht="61.5" hidden="false" customHeight="true" outlineLevel="0" collapsed="false">
      <c r="A20" s="13" t="n">
        <v>16</v>
      </c>
      <c r="B20" s="14" t="s">
        <v>85</v>
      </c>
      <c r="C20" s="15" t="s">
        <v>86</v>
      </c>
      <c r="D20" s="15" t="s">
        <v>87</v>
      </c>
      <c r="E20" s="15" t="s">
        <v>56</v>
      </c>
      <c r="F20" s="16"/>
    </row>
  </sheetData>
  <dataValidations count="1">
    <dataValidation allowBlank="false" errorStyle="stop" operator="between" showDropDown="false" showErrorMessage="false" showInputMessage="false" sqref="E5:E20" type="list">
      <formula1>"Yüksek,Orta,Düşük"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4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23.85" hidden="false" customHeight="false" outlineLevel="0" collapsed="false">
      <c r="A4" s="12" t="s">
        <v>90</v>
      </c>
      <c r="B4" s="12" t="s">
        <v>91</v>
      </c>
      <c r="C4" s="12" t="s">
        <v>56</v>
      </c>
      <c r="D4" s="12" t="s">
        <v>92</v>
      </c>
      <c r="E4" s="12" t="s">
        <v>93</v>
      </c>
      <c r="F4" s="12" t="s">
        <v>94</v>
      </c>
      <c r="G4" s="12" t="s">
        <v>95</v>
      </c>
    </row>
    <row r="5" customFormat="false" ht="54.75" hidden="false" customHeight="true" outlineLevel="0" collapsed="false">
      <c r="A5" s="14" t="s">
        <v>96</v>
      </c>
      <c r="B5" s="15" t="s">
        <v>97</v>
      </c>
      <c r="C5" s="15" t="s">
        <v>98</v>
      </c>
      <c r="D5" s="15" t="s">
        <v>99</v>
      </c>
      <c r="E5" s="15" t="s">
        <v>100</v>
      </c>
      <c r="F5" s="15" t="s">
        <v>101</v>
      </c>
      <c r="G5" s="16"/>
    </row>
    <row r="6" customFormat="false" ht="54.75" hidden="false" customHeight="true" outlineLevel="0" collapsed="false">
      <c r="A6" s="14" t="s">
        <v>47</v>
      </c>
      <c r="B6" s="15" t="s">
        <v>102</v>
      </c>
      <c r="C6" s="15" t="s">
        <v>103</v>
      </c>
      <c r="D6" s="15" t="s">
        <v>104</v>
      </c>
      <c r="E6" s="15" t="s">
        <v>105</v>
      </c>
      <c r="F6" s="15" t="s">
        <v>106</v>
      </c>
      <c r="G6" s="16"/>
    </row>
    <row r="7" customFormat="false" ht="54.75" hidden="false" customHeight="true" outlineLevel="0" collapsed="false">
      <c r="A7" s="14" t="s">
        <v>107</v>
      </c>
      <c r="B7" s="15" t="s">
        <v>108</v>
      </c>
      <c r="C7" s="15" t="s">
        <v>109</v>
      </c>
      <c r="D7" s="15" t="s">
        <v>110</v>
      </c>
      <c r="E7" s="15" t="s">
        <v>111</v>
      </c>
      <c r="F7" s="15" t="s">
        <v>112</v>
      </c>
      <c r="G7" s="16"/>
    </row>
    <row r="8" customFormat="false" ht="54.75" hidden="false" customHeight="true" outlineLevel="0" collapsed="false">
      <c r="A8" s="14" t="s">
        <v>50</v>
      </c>
      <c r="B8" s="15" t="s">
        <v>113</v>
      </c>
      <c r="C8" s="15" t="s">
        <v>114</v>
      </c>
      <c r="D8" s="15" t="s">
        <v>115</v>
      </c>
      <c r="E8" s="15" t="s">
        <v>116</v>
      </c>
      <c r="F8" s="15" t="s">
        <v>117</v>
      </c>
      <c r="G8" s="16"/>
    </row>
    <row r="9" customFormat="false" ht="54.75" hidden="false" customHeight="true" outlineLevel="0" collapsed="false">
      <c r="A9" s="14" t="s">
        <v>118</v>
      </c>
      <c r="B9" s="15" t="s">
        <v>119</v>
      </c>
      <c r="C9" s="15" t="s">
        <v>120</v>
      </c>
      <c r="D9" s="15" t="s">
        <v>121</v>
      </c>
      <c r="E9" s="15" t="s">
        <v>122</v>
      </c>
      <c r="F9" s="15" t="s">
        <v>123</v>
      </c>
      <c r="G9" s="16"/>
    </row>
    <row r="10" customFormat="false" ht="54.75" hidden="false" customHeight="true" outlineLevel="0" collapsed="false">
      <c r="A10" s="14" t="s">
        <v>124</v>
      </c>
      <c r="B10" s="15" t="s">
        <v>125</v>
      </c>
      <c r="C10" s="15" t="s">
        <v>126</v>
      </c>
      <c r="D10" s="15" t="s">
        <v>127</v>
      </c>
      <c r="E10" s="15" t="s">
        <v>111</v>
      </c>
      <c r="F10" s="15" t="s">
        <v>128</v>
      </c>
      <c r="G10" s="16"/>
    </row>
    <row r="11" customFormat="false" ht="54.75" hidden="false" customHeight="true" outlineLevel="0" collapsed="false">
      <c r="A11" s="14" t="s">
        <v>129</v>
      </c>
      <c r="B11" s="15" t="s">
        <v>130</v>
      </c>
      <c r="C11" s="15" t="s">
        <v>131</v>
      </c>
      <c r="D11" s="15" t="s">
        <v>132</v>
      </c>
      <c r="E11" s="15" t="s">
        <v>133</v>
      </c>
      <c r="F11" s="15" t="s">
        <v>134</v>
      </c>
      <c r="G11" s="16"/>
    </row>
    <row r="12" customFormat="false" ht="54.75" hidden="false" customHeight="true" outlineLevel="0" collapsed="false">
      <c r="A12" s="14" t="s">
        <v>135</v>
      </c>
      <c r="B12" s="15" t="s">
        <v>136</v>
      </c>
      <c r="C12" s="15" t="s">
        <v>137</v>
      </c>
      <c r="D12" s="15" t="s">
        <v>138</v>
      </c>
      <c r="E12" s="15" t="s">
        <v>139</v>
      </c>
      <c r="F12" s="15" t="s">
        <v>140</v>
      </c>
      <c r="G12" s="16"/>
    </row>
    <row r="13" customFormat="false" ht="54.75" hidden="false" customHeight="true" outlineLevel="0" collapsed="false">
      <c r="A13" s="14" t="s">
        <v>141</v>
      </c>
      <c r="B13" s="15" t="s">
        <v>142</v>
      </c>
      <c r="C13" s="15" t="s">
        <v>143</v>
      </c>
      <c r="D13" s="15" t="s">
        <v>144</v>
      </c>
      <c r="E13" s="15" t="s">
        <v>145</v>
      </c>
      <c r="F13" s="15" t="s">
        <v>146</v>
      </c>
      <c r="G13" s="16"/>
    </row>
    <row r="14" customFormat="false" ht="54.75" hidden="false" customHeight="true" outlineLevel="0" collapsed="false">
      <c r="A14" s="14" t="s">
        <v>60</v>
      </c>
      <c r="B14" s="15" t="s">
        <v>147</v>
      </c>
      <c r="C14" s="15" t="s">
        <v>148</v>
      </c>
      <c r="D14" s="15" t="s">
        <v>149</v>
      </c>
      <c r="E14" s="15" t="s">
        <v>150</v>
      </c>
      <c r="F14" s="15" t="s">
        <v>151</v>
      </c>
      <c r="G14" s="16"/>
    </row>
    <row r="15" customFormat="false" ht="54.75" hidden="false" customHeight="true" outlineLevel="0" collapsed="false">
      <c r="A15" s="14" t="s">
        <v>152</v>
      </c>
      <c r="B15" s="15" t="s">
        <v>153</v>
      </c>
      <c r="C15" s="15" t="s">
        <v>154</v>
      </c>
      <c r="D15" s="15" t="s">
        <v>155</v>
      </c>
      <c r="E15" s="15" t="s">
        <v>156</v>
      </c>
      <c r="F15" s="15" t="s">
        <v>157</v>
      </c>
      <c r="G15" s="16"/>
    </row>
    <row r="16" customFormat="false" ht="54.75" hidden="false" customHeight="true" outlineLevel="0" collapsed="false">
      <c r="A16" s="14" t="s">
        <v>158</v>
      </c>
      <c r="B16" s="15" t="s">
        <v>159</v>
      </c>
      <c r="C16" s="15" t="s">
        <v>160</v>
      </c>
      <c r="D16" s="15" t="s">
        <v>161</v>
      </c>
      <c r="E16" s="15" t="s">
        <v>162</v>
      </c>
      <c r="F16" s="15" t="s">
        <v>163</v>
      </c>
      <c r="G16" s="16"/>
    </row>
    <row r="17" customFormat="false" ht="54.75" hidden="false" customHeight="true" outlineLevel="0" collapsed="false">
      <c r="A17" s="14" t="s">
        <v>69</v>
      </c>
      <c r="B17" s="15" t="s">
        <v>164</v>
      </c>
      <c r="C17" s="15" t="s">
        <v>165</v>
      </c>
      <c r="D17" s="15" t="s">
        <v>166</v>
      </c>
      <c r="E17" s="15" t="s">
        <v>167</v>
      </c>
      <c r="F17" s="15" t="s">
        <v>168</v>
      </c>
      <c r="G17" s="16"/>
    </row>
    <row r="18" customFormat="false" ht="54.75" hidden="false" customHeight="true" outlineLevel="0" collapsed="false">
      <c r="A18" s="14" t="s">
        <v>169</v>
      </c>
      <c r="B18" s="15" t="s">
        <v>170</v>
      </c>
      <c r="C18" s="15" t="s">
        <v>171</v>
      </c>
      <c r="D18" s="15" t="s">
        <v>172</v>
      </c>
      <c r="E18" s="15" t="s">
        <v>173</v>
      </c>
      <c r="F18" s="15" t="s">
        <v>174</v>
      </c>
      <c r="G18" s="16"/>
    </row>
    <row r="19" customFormat="false" ht="54.75" hidden="false" customHeight="true" outlineLevel="0" collapsed="false">
      <c r="A19" s="14" t="s">
        <v>175</v>
      </c>
      <c r="B19" s="15" t="s">
        <v>176</v>
      </c>
      <c r="C19" s="15" t="s">
        <v>177</v>
      </c>
      <c r="D19" s="15" t="s">
        <v>178</v>
      </c>
      <c r="E19" s="15" t="s">
        <v>179</v>
      </c>
      <c r="F19" s="15" t="s">
        <v>180</v>
      </c>
      <c r="G19" s="16"/>
    </row>
    <row r="20" customFormat="false" ht="54.75" hidden="false" customHeight="true" outlineLevel="0" collapsed="false">
      <c r="A20" s="14" t="s">
        <v>181</v>
      </c>
      <c r="B20" s="15" t="s">
        <v>182</v>
      </c>
      <c r="C20" s="15" t="s">
        <v>183</v>
      </c>
      <c r="D20" s="15" t="s">
        <v>184</v>
      </c>
      <c r="E20" s="15" t="s">
        <v>185</v>
      </c>
      <c r="F20" s="15" t="s">
        <v>186</v>
      </c>
      <c r="G20" s="16"/>
    </row>
    <row r="21" customFormat="false" ht="54.75" hidden="false" customHeight="true" outlineLevel="0" collapsed="false">
      <c r="A21" s="14" t="s">
        <v>187</v>
      </c>
      <c r="B21" s="15" t="s">
        <v>188</v>
      </c>
      <c r="C21" s="15" t="s">
        <v>189</v>
      </c>
      <c r="D21" s="15" t="s">
        <v>190</v>
      </c>
      <c r="E21" s="15" t="s">
        <v>191</v>
      </c>
      <c r="F21" s="15" t="s">
        <v>192</v>
      </c>
      <c r="G21" s="16"/>
    </row>
  </sheetData>
  <dataValidations count="1">
    <dataValidation allowBlank="false" errorStyle="stop" operator="between" showDropDown="false" showErrorMessage="false" showInputMessage="false" sqref="G5:G21" type="list">
      <formula1>"Ekonomik,Orta,Premium,Yok"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10" min="8" style="0" width="13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194</v>
      </c>
    </row>
    <row r="4" customFormat="false" ht="23.85" hidden="false" customHeight="false" outlineLevel="0" collapsed="false">
      <c r="A4" s="12" t="s">
        <v>195</v>
      </c>
      <c r="B4" s="12" t="s">
        <v>196</v>
      </c>
      <c r="C4" s="12" t="s">
        <v>197</v>
      </c>
      <c r="D4" s="12" t="s">
        <v>198</v>
      </c>
      <c r="E4" s="12" t="s">
        <v>199</v>
      </c>
      <c r="F4" s="12" t="s">
        <v>200</v>
      </c>
      <c r="G4" s="12" t="s">
        <v>201</v>
      </c>
      <c r="H4" s="12" t="s">
        <v>202</v>
      </c>
      <c r="I4" s="12" t="s">
        <v>203</v>
      </c>
      <c r="J4" s="12" t="s">
        <v>204</v>
      </c>
      <c r="K4" s="12" t="s">
        <v>205</v>
      </c>
    </row>
    <row r="5" customFormat="false" ht="31.5" hidden="false" customHeight="true" outlineLevel="0" collapsed="false">
      <c r="A5" s="15" t="s">
        <v>206</v>
      </c>
      <c r="B5" s="14" t="s">
        <v>207</v>
      </c>
      <c r="C5" s="15" t="s">
        <v>208</v>
      </c>
      <c r="D5" s="15" t="s">
        <v>209</v>
      </c>
      <c r="E5" s="15" t="s">
        <v>210</v>
      </c>
      <c r="F5" s="15" t="s">
        <v>211</v>
      </c>
      <c r="G5" s="17" t="n">
        <v>24</v>
      </c>
      <c r="H5" s="18" t="n">
        <v>25</v>
      </c>
      <c r="I5" s="19" t="n">
        <f aca="false">G5*H5</f>
        <v>600</v>
      </c>
      <c r="J5" s="15" t="s">
        <v>212</v>
      </c>
      <c r="K5" s="15" t="s">
        <v>213</v>
      </c>
    </row>
    <row r="6" customFormat="false" ht="31.5" hidden="false" customHeight="true" outlineLevel="0" collapsed="false">
      <c r="A6" s="15" t="s">
        <v>206</v>
      </c>
      <c r="B6" s="14" t="s">
        <v>214</v>
      </c>
      <c r="C6" s="15" t="s">
        <v>215</v>
      </c>
      <c r="D6" s="15" t="s">
        <v>216</v>
      </c>
      <c r="E6" s="15" t="s">
        <v>217</v>
      </c>
      <c r="F6" s="15" t="s">
        <v>211</v>
      </c>
      <c r="G6" s="17" t="n">
        <v>4</v>
      </c>
      <c r="H6" s="18" t="n">
        <v>120</v>
      </c>
      <c r="I6" s="19" t="n">
        <f aca="false">G6*H6</f>
        <v>480</v>
      </c>
      <c r="J6" s="15" t="s">
        <v>218</v>
      </c>
      <c r="K6" s="15" t="s">
        <v>219</v>
      </c>
    </row>
    <row r="7" customFormat="false" ht="31.5" hidden="false" customHeight="true" outlineLevel="0" collapsed="false">
      <c r="A7" s="15" t="s">
        <v>206</v>
      </c>
      <c r="B7" s="14" t="s">
        <v>220</v>
      </c>
      <c r="C7" s="15" t="s">
        <v>221</v>
      </c>
      <c r="D7" s="15" t="s">
        <v>222</v>
      </c>
      <c r="E7" s="15" t="s">
        <v>223</v>
      </c>
      <c r="F7" s="15" t="s">
        <v>211</v>
      </c>
      <c r="G7" s="17" t="n">
        <v>1</v>
      </c>
      <c r="H7" s="18" t="n">
        <v>300</v>
      </c>
      <c r="I7" s="19" t="n">
        <f aca="false">G7*H7</f>
        <v>300</v>
      </c>
      <c r="J7" s="15" t="s">
        <v>224</v>
      </c>
      <c r="K7" s="15" t="s">
        <v>225</v>
      </c>
    </row>
    <row r="8" customFormat="false" ht="31.5" hidden="false" customHeight="true" outlineLevel="0" collapsed="false">
      <c r="A8" s="15" t="s">
        <v>206</v>
      </c>
      <c r="B8" s="14" t="s">
        <v>226</v>
      </c>
      <c r="C8" s="15" t="s">
        <v>227</v>
      </c>
      <c r="D8" s="15" t="s">
        <v>228</v>
      </c>
      <c r="E8" s="15" t="s">
        <v>217</v>
      </c>
      <c r="F8" s="15" t="s">
        <v>211</v>
      </c>
      <c r="G8" s="17" t="n">
        <v>1</v>
      </c>
      <c r="H8" s="18" t="n">
        <v>250</v>
      </c>
      <c r="I8" s="19" t="n">
        <f aca="false">G8*H8</f>
        <v>250</v>
      </c>
      <c r="J8" s="15" t="s">
        <v>229</v>
      </c>
      <c r="K8" s="15" t="s">
        <v>230</v>
      </c>
    </row>
    <row r="9" customFormat="false" ht="31.5" hidden="false" customHeight="true" outlineLevel="0" collapsed="false">
      <c r="A9" s="15" t="s">
        <v>206</v>
      </c>
      <c r="B9" s="14" t="s">
        <v>231</v>
      </c>
      <c r="C9" s="15" t="s">
        <v>232</v>
      </c>
      <c r="D9" s="15" t="s">
        <v>233</v>
      </c>
      <c r="E9" s="15" t="s">
        <v>234</v>
      </c>
      <c r="F9" s="15" t="s">
        <v>211</v>
      </c>
      <c r="G9" s="17" t="n">
        <v>1</v>
      </c>
      <c r="H9" s="18" t="n">
        <v>90</v>
      </c>
      <c r="I9" s="19" t="n">
        <f aca="false">G9*H9</f>
        <v>90</v>
      </c>
      <c r="J9" s="15" t="s">
        <v>235</v>
      </c>
      <c r="K9" s="15" t="s">
        <v>236</v>
      </c>
    </row>
    <row r="10" customFormat="false" ht="31.5" hidden="false" customHeight="true" outlineLevel="0" collapsed="false">
      <c r="A10" s="15" t="s">
        <v>206</v>
      </c>
      <c r="B10" s="14" t="s">
        <v>237</v>
      </c>
      <c r="C10" s="15" t="s">
        <v>238</v>
      </c>
      <c r="D10" s="15" t="s">
        <v>239</v>
      </c>
      <c r="E10" s="15" t="s">
        <v>240</v>
      </c>
      <c r="F10" s="15" t="s">
        <v>211</v>
      </c>
      <c r="G10" s="17" t="n">
        <v>6</v>
      </c>
      <c r="H10" s="18" t="n">
        <v>30</v>
      </c>
      <c r="I10" s="19" t="n">
        <f aca="false">G10*H10</f>
        <v>180</v>
      </c>
      <c r="J10" s="15" t="s">
        <v>212</v>
      </c>
      <c r="K10" s="15" t="s">
        <v>241</v>
      </c>
    </row>
    <row r="11" customFormat="false" ht="31.5" hidden="false" customHeight="true" outlineLevel="0" collapsed="false">
      <c r="A11" s="15" t="s">
        <v>206</v>
      </c>
      <c r="B11" s="14" t="s">
        <v>242</v>
      </c>
      <c r="C11" s="15" t="s">
        <v>243</v>
      </c>
      <c r="D11" s="15" t="s">
        <v>244</v>
      </c>
      <c r="E11" s="15" t="s">
        <v>245</v>
      </c>
      <c r="F11" s="15" t="s">
        <v>211</v>
      </c>
      <c r="G11" s="17" t="n">
        <v>1</v>
      </c>
      <c r="H11" s="18" t="n">
        <v>90</v>
      </c>
      <c r="I11" s="19" t="n">
        <f aca="false">G11*H11</f>
        <v>90</v>
      </c>
      <c r="J11" s="15" t="s">
        <v>246</v>
      </c>
      <c r="K11" s="15" t="s">
        <v>247</v>
      </c>
    </row>
    <row r="12" customFormat="false" ht="31.5" hidden="false" customHeight="true" outlineLevel="0" collapsed="false">
      <c r="A12" s="15" t="s">
        <v>248</v>
      </c>
      <c r="B12" s="14" t="s">
        <v>249</v>
      </c>
      <c r="C12" s="15" t="s">
        <v>250</v>
      </c>
      <c r="D12" s="15" t="s">
        <v>251</v>
      </c>
      <c r="E12" s="15" t="s">
        <v>252</v>
      </c>
      <c r="F12" s="15" t="s">
        <v>211</v>
      </c>
      <c r="G12" s="17" t="n">
        <v>2</v>
      </c>
      <c r="H12" s="18" t="n">
        <v>60</v>
      </c>
      <c r="I12" s="19" t="n">
        <f aca="false">G12*H12</f>
        <v>120</v>
      </c>
      <c r="J12" s="15" t="s">
        <v>253</v>
      </c>
      <c r="K12" s="15" t="s">
        <v>254</v>
      </c>
    </row>
    <row r="13" customFormat="false" ht="31.5" hidden="false" customHeight="true" outlineLevel="0" collapsed="false">
      <c r="A13" s="15" t="s">
        <v>248</v>
      </c>
      <c r="B13" s="14" t="s">
        <v>255</v>
      </c>
      <c r="C13" s="15" t="s">
        <v>250</v>
      </c>
      <c r="D13" s="15" t="s">
        <v>256</v>
      </c>
      <c r="E13" s="15" t="s">
        <v>257</v>
      </c>
      <c r="F13" s="15" t="s">
        <v>211</v>
      </c>
      <c r="G13" s="17" t="n">
        <v>2</v>
      </c>
      <c r="H13" s="18" t="n">
        <v>60</v>
      </c>
      <c r="I13" s="19" t="n">
        <f aca="false">G13*H13</f>
        <v>120</v>
      </c>
      <c r="J13" s="15" t="s">
        <v>246</v>
      </c>
      <c r="K13" s="15" t="s">
        <v>258</v>
      </c>
    </row>
    <row r="14" customFormat="false" ht="31.5" hidden="false" customHeight="true" outlineLevel="0" collapsed="false">
      <c r="A14" s="15" t="s">
        <v>248</v>
      </c>
      <c r="B14" s="14" t="s">
        <v>259</v>
      </c>
      <c r="C14" s="15" t="s">
        <v>250</v>
      </c>
      <c r="D14" s="15" t="s">
        <v>260</v>
      </c>
      <c r="E14" s="15" t="s">
        <v>261</v>
      </c>
      <c r="F14" s="15" t="s">
        <v>211</v>
      </c>
      <c r="G14" s="17" t="n">
        <v>6</v>
      </c>
      <c r="H14" s="18" t="n">
        <v>30</v>
      </c>
      <c r="I14" s="19" t="n">
        <f aca="false">G14*H14</f>
        <v>180</v>
      </c>
      <c r="J14" s="15" t="s">
        <v>262</v>
      </c>
      <c r="K14" s="15" t="s">
        <v>263</v>
      </c>
    </row>
    <row r="15" customFormat="false" ht="31.5" hidden="false" customHeight="true" outlineLevel="0" collapsed="false">
      <c r="A15" s="15" t="s">
        <v>248</v>
      </c>
      <c r="B15" s="14" t="s">
        <v>264</v>
      </c>
      <c r="C15" s="15" t="s">
        <v>265</v>
      </c>
      <c r="D15" s="15" t="s">
        <v>266</v>
      </c>
      <c r="E15" s="15" t="s">
        <v>257</v>
      </c>
      <c r="F15" s="15" t="s">
        <v>211</v>
      </c>
      <c r="G15" s="17" t="n">
        <v>8</v>
      </c>
      <c r="H15" s="18" t="n">
        <v>25</v>
      </c>
      <c r="I15" s="19" t="n">
        <f aca="false">G15*H15</f>
        <v>200</v>
      </c>
      <c r="J15" s="15" t="s">
        <v>267</v>
      </c>
      <c r="K15" s="15" t="s">
        <v>268</v>
      </c>
    </row>
    <row r="16" customFormat="false" ht="31.5" hidden="false" customHeight="true" outlineLevel="0" collapsed="false">
      <c r="A16" s="15" t="s">
        <v>269</v>
      </c>
      <c r="B16" s="14" t="s">
        <v>270</v>
      </c>
      <c r="C16" s="15" t="s">
        <v>271</v>
      </c>
      <c r="D16" s="15" t="s">
        <v>272</v>
      </c>
      <c r="E16" s="15" t="s">
        <v>273</v>
      </c>
      <c r="F16" s="15" t="s">
        <v>211</v>
      </c>
      <c r="G16" s="17" t="n">
        <v>2</v>
      </c>
      <c r="H16" s="18" t="n">
        <v>120</v>
      </c>
      <c r="I16" s="19" t="n">
        <f aca="false">G16*H16</f>
        <v>240</v>
      </c>
      <c r="J16" s="15" t="s">
        <v>274</v>
      </c>
      <c r="K16" s="15" t="s">
        <v>275</v>
      </c>
    </row>
    <row r="17" customFormat="false" ht="31.5" hidden="false" customHeight="true" outlineLevel="0" collapsed="false">
      <c r="A17" s="15" t="s">
        <v>269</v>
      </c>
      <c r="B17" s="14" t="s">
        <v>276</v>
      </c>
      <c r="C17" s="15" t="s">
        <v>277</v>
      </c>
      <c r="D17" s="15" t="s">
        <v>278</v>
      </c>
      <c r="E17" s="15" t="s">
        <v>111</v>
      </c>
      <c r="F17" s="15" t="s">
        <v>211</v>
      </c>
      <c r="G17" s="17" t="n">
        <v>2</v>
      </c>
      <c r="H17" s="18" t="n">
        <v>250</v>
      </c>
      <c r="I17" s="19" t="n">
        <f aca="false">G17*H17</f>
        <v>500</v>
      </c>
      <c r="J17" s="15" t="s">
        <v>279</v>
      </c>
      <c r="K17" s="15" t="s">
        <v>280</v>
      </c>
    </row>
    <row r="18" customFormat="false" ht="31.5" hidden="false" customHeight="true" outlineLevel="0" collapsed="false">
      <c r="A18" s="15" t="s">
        <v>269</v>
      </c>
      <c r="B18" s="14" t="s">
        <v>281</v>
      </c>
      <c r="C18" s="15" t="s">
        <v>250</v>
      </c>
      <c r="D18" s="15" t="s">
        <v>282</v>
      </c>
      <c r="E18" s="15" t="s">
        <v>261</v>
      </c>
      <c r="F18" s="15" t="s">
        <v>211</v>
      </c>
      <c r="G18" s="17" t="n">
        <v>30</v>
      </c>
      <c r="H18" s="18" t="n">
        <v>8</v>
      </c>
      <c r="I18" s="19" t="n">
        <f aca="false">G18*H18</f>
        <v>240</v>
      </c>
      <c r="J18" s="15" t="s">
        <v>283</v>
      </c>
      <c r="K18" s="15" t="s">
        <v>284</v>
      </c>
    </row>
    <row r="19" customFormat="false" ht="31.5" hidden="false" customHeight="true" outlineLevel="0" collapsed="false">
      <c r="A19" s="15" t="s">
        <v>269</v>
      </c>
      <c r="B19" s="14" t="s">
        <v>285</v>
      </c>
      <c r="C19" s="15" t="s">
        <v>286</v>
      </c>
      <c r="D19" s="15" t="s">
        <v>287</v>
      </c>
      <c r="E19" s="15" t="s">
        <v>261</v>
      </c>
      <c r="F19" s="15" t="s">
        <v>211</v>
      </c>
      <c r="G19" s="17" t="n">
        <v>1</v>
      </c>
      <c r="H19" s="18" t="n">
        <v>80</v>
      </c>
      <c r="I19" s="19" t="n">
        <f aca="false">G19*H19</f>
        <v>80</v>
      </c>
      <c r="J19" s="15" t="s">
        <v>246</v>
      </c>
      <c r="K19" s="15" t="s">
        <v>288</v>
      </c>
    </row>
    <row r="20" customFormat="false" ht="31.5" hidden="false" customHeight="true" outlineLevel="0" collapsed="false">
      <c r="A20" s="15" t="s">
        <v>269</v>
      </c>
      <c r="B20" s="14" t="s">
        <v>289</v>
      </c>
      <c r="C20" s="15" t="s">
        <v>290</v>
      </c>
      <c r="D20" s="15" t="s">
        <v>291</v>
      </c>
      <c r="E20" s="15" t="s">
        <v>292</v>
      </c>
      <c r="F20" s="15" t="s">
        <v>211</v>
      </c>
      <c r="G20" s="17" t="n">
        <v>1</v>
      </c>
      <c r="H20" s="18" t="n">
        <v>200</v>
      </c>
      <c r="I20" s="19" t="n">
        <f aca="false">G20*H20</f>
        <v>200</v>
      </c>
      <c r="J20" s="15" t="s">
        <v>293</v>
      </c>
      <c r="K20" s="15" t="s">
        <v>294</v>
      </c>
    </row>
    <row r="21" customFormat="false" ht="31.5" hidden="false" customHeight="true" outlineLevel="0" collapsed="false">
      <c r="A21" s="15" t="s">
        <v>269</v>
      </c>
      <c r="B21" s="14" t="s">
        <v>295</v>
      </c>
      <c r="C21" s="15" t="s">
        <v>296</v>
      </c>
      <c r="D21" s="15" t="s">
        <v>297</v>
      </c>
      <c r="E21" s="15" t="s">
        <v>292</v>
      </c>
      <c r="F21" s="15" t="s">
        <v>211</v>
      </c>
      <c r="G21" s="17" t="n">
        <v>1</v>
      </c>
      <c r="H21" s="18" t="n">
        <v>120</v>
      </c>
      <c r="I21" s="19" t="n">
        <f aca="false">G21*H21</f>
        <v>120</v>
      </c>
      <c r="J21" s="15" t="s">
        <v>298</v>
      </c>
      <c r="K21" s="15" t="s">
        <v>299</v>
      </c>
    </row>
    <row r="22" customFormat="false" ht="31.5" hidden="false" customHeight="true" outlineLevel="0" collapsed="false">
      <c r="A22" s="15" t="s">
        <v>269</v>
      </c>
      <c r="B22" s="14" t="s">
        <v>300</v>
      </c>
      <c r="C22" s="15" t="s">
        <v>301</v>
      </c>
      <c r="D22" s="15" t="s">
        <v>302</v>
      </c>
      <c r="E22" s="15" t="s">
        <v>303</v>
      </c>
      <c r="F22" s="15" t="s">
        <v>211</v>
      </c>
      <c r="G22" s="17" t="n">
        <v>2</v>
      </c>
      <c r="H22" s="18" t="n">
        <v>180</v>
      </c>
      <c r="I22" s="19" t="n">
        <f aca="false">G22*H22</f>
        <v>360</v>
      </c>
      <c r="J22" s="15" t="s">
        <v>304</v>
      </c>
      <c r="K22" s="15" t="s">
        <v>305</v>
      </c>
    </row>
    <row r="23" customFormat="false" ht="31.5" hidden="false" customHeight="true" outlineLevel="0" collapsed="false">
      <c r="A23" s="15" t="s">
        <v>269</v>
      </c>
      <c r="B23" s="14" t="s">
        <v>306</v>
      </c>
      <c r="C23" s="15" t="s">
        <v>307</v>
      </c>
      <c r="D23" s="15" t="s">
        <v>308</v>
      </c>
      <c r="E23" s="15" t="s">
        <v>309</v>
      </c>
      <c r="F23" s="15" t="s">
        <v>310</v>
      </c>
      <c r="G23" s="17" t="n">
        <v>0</v>
      </c>
      <c r="H23" s="18" t="n">
        <v>1200</v>
      </c>
      <c r="I23" s="19" t="n">
        <f aca="false">G23*H23</f>
        <v>0</v>
      </c>
      <c r="J23" s="15" t="s">
        <v>311</v>
      </c>
      <c r="K23" s="15" t="s">
        <v>312</v>
      </c>
    </row>
    <row r="24" customFormat="false" ht="31.5" hidden="false" customHeight="true" outlineLevel="0" collapsed="false">
      <c r="A24" s="15" t="s">
        <v>313</v>
      </c>
      <c r="B24" s="14" t="s">
        <v>314</v>
      </c>
      <c r="C24" s="15" t="s">
        <v>315</v>
      </c>
      <c r="D24" s="15" t="s">
        <v>316</v>
      </c>
      <c r="E24" s="15" t="s">
        <v>111</v>
      </c>
      <c r="F24" s="15" t="s">
        <v>211</v>
      </c>
      <c r="G24" s="17" t="n">
        <v>6</v>
      </c>
      <c r="H24" s="18" t="n">
        <v>150</v>
      </c>
      <c r="I24" s="19" t="n">
        <f aca="false">G24*H24</f>
        <v>900</v>
      </c>
      <c r="J24" s="15" t="s">
        <v>317</v>
      </c>
      <c r="K24" s="15" t="s">
        <v>318</v>
      </c>
    </row>
    <row r="25" customFormat="false" ht="31.5" hidden="false" customHeight="true" outlineLevel="0" collapsed="false">
      <c r="A25" s="15" t="s">
        <v>313</v>
      </c>
      <c r="B25" s="14" t="s">
        <v>319</v>
      </c>
      <c r="C25" s="15" t="s">
        <v>320</v>
      </c>
      <c r="D25" s="15" t="s">
        <v>321</v>
      </c>
      <c r="E25" s="15" t="s">
        <v>179</v>
      </c>
      <c r="F25" s="15" t="s">
        <v>211</v>
      </c>
      <c r="G25" s="17" t="n">
        <v>2</v>
      </c>
      <c r="H25" s="18" t="n">
        <v>60</v>
      </c>
      <c r="I25" s="19" t="n">
        <f aca="false">G25*H25</f>
        <v>120</v>
      </c>
      <c r="J25" s="15" t="s">
        <v>246</v>
      </c>
      <c r="K25" s="15"/>
    </row>
    <row r="26" customFormat="false" ht="31.5" hidden="false" customHeight="true" outlineLevel="0" collapsed="false">
      <c r="A26" s="15" t="s">
        <v>313</v>
      </c>
      <c r="B26" s="14" t="s">
        <v>322</v>
      </c>
      <c r="C26" s="15" t="s">
        <v>323</v>
      </c>
      <c r="D26" s="15" t="s">
        <v>179</v>
      </c>
      <c r="E26" s="15" t="s">
        <v>179</v>
      </c>
      <c r="F26" s="15" t="s">
        <v>310</v>
      </c>
      <c r="G26" s="17" t="n">
        <v>1</v>
      </c>
      <c r="H26" s="18" t="n">
        <v>250</v>
      </c>
      <c r="I26" s="19" t="n">
        <f aca="false">G26*H26</f>
        <v>250</v>
      </c>
      <c r="J26" s="15" t="s">
        <v>324</v>
      </c>
      <c r="K26" s="15"/>
    </row>
    <row r="27" customFormat="false" ht="15" hidden="false" customHeight="false" outlineLevel="0" collapsed="false">
      <c r="A27" s="20"/>
      <c r="B27" s="21" t="s">
        <v>325</v>
      </c>
      <c r="C27" s="20"/>
      <c r="D27" s="20"/>
      <c r="E27" s="20"/>
      <c r="F27" s="20"/>
      <c r="G27" s="20"/>
      <c r="H27" s="20"/>
      <c r="I27" s="22" t="n">
        <f aca="false">SUM(I5:I26)</f>
        <v>5620</v>
      </c>
      <c r="J27" s="20"/>
      <c r="K27" s="20"/>
    </row>
    <row r="29" customFormat="false" ht="15" hidden="false" customHeight="false" outlineLevel="0" collapsed="false">
      <c r="A29" s="2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327</v>
      </c>
      <c r="B1" s="23"/>
      <c r="C1" s="23"/>
      <c r="D1" s="23"/>
      <c r="E1" s="23"/>
      <c r="F1" s="23"/>
      <c r="G1" s="23"/>
    </row>
    <row r="2" customFormat="false" ht="15" hidden="false" customHeight="false" outlineLevel="0" collapsed="false">
      <c r="A2" s="2" t="s">
        <v>328</v>
      </c>
      <c r="B2" s="23"/>
      <c r="C2" s="23"/>
      <c r="D2" s="23"/>
      <c r="E2" s="23"/>
      <c r="F2" s="23"/>
      <c r="G2" s="23"/>
    </row>
    <row r="3" customFormat="false" ht="15" hidden="false" customHeight="false" outlineLevel="0" collapsed="false">
      <c r="A3" s="23"/>
      <c r="B3" s="23"/>
      <c r="C3" s="23"/>
      <c r="D3" s="23"/>
      <c r="E3" s="23"/>
      <c r="F3" s="23"/>
      <c r="G3" s="23"/>
    </row>
    <row r="4" customFormat="false" ht="15" hidden="false" customHeight="false" outlineLevel="0" collapsed="false">
      <c r="A4" s="24" t="s">
        <v>329</v>
      </c>
      <c r="B4" s="25"/>
      <c r="C4" s="25"/>
      <c r="D4" s="23"/>
      <c r="E4" s="23"/>
      <c r="F4" s="23"/>
      <c r="G4" s="23"/>
    </row>
    <row r="5" customFormat="false" ht="15" hidden="false" customHeight="false" outlineLevel="0" collapsed="false">
      <c r="A5" s="26" t="s">
        <v>330</v>
      </c>
      <c r="B5" s="27" t="n">
        <v>50</v>
      </c>
      <c r="C5" s="2" t="s">
        <v>331</v>
      </c>
      <c r="D5" s="23"/>
      <c r="E5" s="23"/>
      <c r="F5" s="23"/>
      <c r="G5" s="23"/>
    </row>
    <row r="6" customFormat="false" ht="15" hidden="false" customHeight="false" outlineLevel="0" collapsed="false">
      <c r="A6" s="26" t="s">
        <v>332</v>
      </c>
      <c r="B6" s="28" t="n">
        <v>0.25</v>
      </c>
      <c r="C6" s="2" t="s">
        <v>333</v>
      </c>
      <c r="D6" s="23"/>
      <c r="E6" s="23"/>
      <c r="F6" s="23"/>
      <c r="G6" s="23"/>
    </row>
    <row r="7" customFormat="false" ht="15" hidden="false" customHeight="false" outlineLevel="0" collapsed="false">
      <c r="A7" s="26" t="s">
        <v>334</v>
      </c>
      <c r="B7" s="29" t="n">
        <v>50</v>
      </c>
      <c r="C7" s="2" t="s">
        <v>335</v>
      </c>
      <c r="D7" s="23"/>
      <c r="E7" s="23"/>
      <c r="F7" s="23"/>
      <c r="G7" s="23"/>
    </row>
    <row r="8" customFormat="false" ht="15" hidden="false" customHeight="false" outlineLevel="0" collapsed="false">
      <c r="A8" s="26" t="s">
        <v>336</v>
      </c>
      <c r="B8" s="28" t="n">
        <v>0.1</v>
      </c>
      <c r="C8" s="2" t="s">
        <v>337</v>
      </c>
      <c r="D8" s="23"/>
      <c r="E8" s="23"/>
      <c r="F8" s="23"/>
      <c r="G8" s="23"/>
    </row>
    <row r="9" customFormat="false" ht="15" hidden="false" customHeight="false" outlineLevel="0" collapsed="false">
      <c r="A9" s="26" t="s">
        <v>338</v>
      </c>
      <c r="B9" s="28" t="n">
        <v>0.2</v>
      </c>
      <c r="C9" s="2" t="s">
        <v>339</v>
      </c>
      <c r="D9" s="23"/>
      <c r="E9" s="23"/>
      <c r="F9" s="23"/>
      <c r="G9" s="23"/>
    </row>
    <row r="10" customFormat="false" ht="15" hidden="false" customHeight="false" outlineLevel="0" collapsed="false">
      <c r="A10" s="26" t="s">
        <v>340</v>
      </c>
      <c r="B10" s="28" t="n">
        <v>0.08</v>
      </c>
      <c r="C10" s="2" t="s">
        <v>341</v>
      </c>
      <c r="D10" s="23"/>
      <c r="E10" s="23"/>
      <c r="F10" s="23"/>
      <c r="G10" s="23"/>
    </row>
    <row r="11" customFormat="false" ht="15" hidden="false" customHeight="false" outlineLevel="0" collapsed="false">
      <c r="A11" s="23"/>
      <c r="B11" s="23"/>
      <c r="C11" s="23"/>
      <c r="D11" s="23"/>
      <c r="E11" s="23"/>
      <c r="F11" s="23"/>
      <c r="G11" s="23"/>
    </row>
    <row r="12" customFormat="false" ht="15" hidden="false" customHeight="false" outlineLevel="0" collapsed="false">
      <c r="A12" s="12" t="s">
        <v>342</v>
      </c>
      <c r="B12" s="12" t="s">
        <v>343</v>
      </c>
      <c r="C12" s="12" t="s">
        <v>200</v>
      </c>
      <c r="D12" s="12" t="s">
        <v>201</v>
      </c>
      <c r="E12" s="12" t="s">
        <v>202</v>
      </c>
      <c r="F12" s="12" t="s">
        <v>203</v>
      </c>
      <c r="G12" s="12" t="s">
        <v>205</v>
      </c>
    </row>
    <row r="13" customFormat="false" ht="15" hidden="false" customHeight="false" outlineLevel="0" collapsed="false">
      <c r="A13" s="30" t="s">
        <v>344</v>
      </c>
      <c r="B13" s="30" t="s">
        <v>345</v>
      </c>
      <c r="C13" s="30" t="s">
        <v>211</v>
      </c>
      <c r="D13" s="31" t="n">
        <v>2</v>
      </c>
      <c r="E13" s="32" t="n">
        <v>250</v>
      </c>
      <c r="F13" s="33" t="n">
        <f aca="false">D13*E13</f>
        <v>500</v>
      </c>
      <c r="G13" s="30"/>
    </row>
    <row r="14" customFormat="false" ht="15" hidden="false" customHeight="false" outlineLevel="0" collapsed="false">
      <c r="A14" s="30" t="s">
        <v>344</v>
      </c>
      <c r="B14" s="30" t="s">
        <v>346</v>
      </c>
      <c r="C14" s="30" t="s">
        <v>211</v>
      </c>
      <c r="D14" s="31" t="n">
        <v>1</v>
      </c>
      <c r="E14" s="32" t="n">
        <v>450</v>
      </c>
      <c r="F14" s="33" t="n">
        <f aca="false">D14*E14</f>
        <v>450</v>
      </c>
      <c r="G14" s="30"/>
    </row>
    <row r="15" customFormat="false" ht="15" hidden="false" customHeight="false" outlineLevel="0" collapsed="false">
      <c r="A15" s="30" t="s">
        <v>344</v>
      </c>
      <c r="B15" s="30" t="s">
        <v>347</v>
      </c>
      <c r="C15" s="30" t="s">
        <v>211</v>
      </c>
      <c r="D15" s="31" t="n">
        <v>6</v>
      </c>
      <c r="E15" s="32" t="n">
        <v>350</v>
      </c>
      <c r="F15" s="33" t="n">
        <f aca="false">D15*E15</f>
        <v>2100</v>
      </c>
      <c r="G15" s="30" t="s">
        <v>348</v>
      </c>
    </row>
    <row r="16" customFormat="false" ht="15" hidden="false" customHeight="false" outlineLevel="0" collapsed="false">
      <c r="A16" s="30" t="s">
        <v>344</v>
      </c>
      <c r="B16" s="30" t="s">
        <v>349</v>
      </c>
      <c r="C16" s="30" t="s">
        <v>211</v>
      </c>
      <c r="D16" s="31" t="n">
        <v>4</v>
      </c>
      <c r="E16" s="32" t="n">
        <v>450</v>
      </c>
      <c r="F16" s="33" t="n">
        <f aca="false">D16*E16</f>
        <v>1800</v>
      </c>
      <c r="G16" s="30" t="s">
        <v>350</v>
      </c>
    </row>
    <row r="17" customFormat="false" ht="15" hidden="false" customHeight="false" outlineLevel="0" collapsed="false">
      <c r="A17" s="30" t="s">
        <v>344</v>
      </c>
      <c r="B17" s="30" t="s">
        <v>351</v>
      </c>
      <c r="C17" s="30" t="s">
        <v>211</v>
      </c>
      <c r="D17" s="31" t="n">
        <v>4</v>
      </c>
      <c r="E17" s="32" t="n">
        <v>350</v>
      </c>
      <c r="F17" s="33" t="n">
        <f aca="false">D17*E17</f>
        <v>1400</v>
      </c>
      <c r="G17" s="30" t="s">
        <v>352</v>
      </c>
    </row>
    <row r="18" customFormat="false" ht="15" hidden="false" customHeight="false" outlineLevel="0" collapsed="false">
      <c r="A18" s="30" t="s">
        <v>344</v>
      </c>
      <c r="B18" s="30" t="s">
        <v>353</v>
      </c>
      <c r="C18" s="30" t="s">
        <v>211</v>
      </c>
      <c r="D18" s="31" t="n">
        <v>14</v>
      </c>
      <c r="E18" s="32" t="n">
        <v>250</v>
      </c>
      <c r="F18" s="33" t="n">
        <f aca="false">D18*E18</f>
        <v>3500</v>
      </c>
      <c r="G18" s="30" t="s">
        <v>354</v>
      </c>
    </row>
    <row r="19" customFormat="false" ht="15" hidden="false" customHeight="false" outlineLevel="0" collapsed="false">
      <c r="A19" s="30" t="s">
        <v>344</v>
      </c>
      <c r="B19" s="30" t="s">
        <v>355</v>
      </c>
      <c r="C19" s="30" t="s">
        <v>211</v>
      </c>
      <c r="D19" s="31" t="n">
        <v>10</v>
      </c>
      <c r="E19" s="32" t="n">
        <v>150</v>
      </c>
      <c r="F19" s="33" t="n">
        <f aca="false">D19*E19</f>
        <v>1500</v>
      </c>
      <c r="G19" s="30"/>
    </row>
    <row r="20" customFormat="false" ht="15" hidden="false" customHeight="false" outlineLevel="0" collapsed="false">
      <c r="A20" s="30" t="s">
        <v>344</v>
      </c>
      <c r="B20" s="30" t="s">
        <v>356</v>
      </c>
      <c r="C20" s="30" t="s">
        <v>211</v>
      </c>
      <c r="D20" s="31" t="n">
        <v>3</v>
      </c>
      <c r="E20" s="32" t="n">
        <v>450</v>
      </c>
      <c r="F20" s="33" t="n">
        <f aca="false">D20*E20</f>
        <v>1350</v>
      </c>
      <c r="G20" s="30" t="s">
        <v>357</v>
      </c>
    </row>
    <row r="21" customFormat="false" ht="15" hidden="false" customHeight="false" outlineLevel="0" collapsed="false">
      <c r="A21" s="30" t="s">
        <v>344</v>
      </c>
      <c r="B21" s="30" t="s">
        <v>358</v>
      </c>
      <c r="C21" s="30" t="s">
        <v>211</v>
      </c>
      <c r="D21" s="31" t="n">
        <v>1</v>
      </c>
      <c r="E21" s="32" t="n">
        <v>700</v>
      </c>
      <c r="F21" s="33" t="n">
        <f aca="false">D21*E21</f>
        <v>700</v>
      </c>
      <c r="G21" s="30" t="s">
        <v>359</v>
      </c>
    </row>
    <row r="22" customFormat="false" ht="15" hidden="false" customHeight="false" outlineLevel="0" collapsed="false">
      <c r="A22" s="30" t="s">
        <v>344</v>
      </c>
      <c r="B22" s="30" t="s">
        <v>360</v>
      </c>
      <c r="C22" s="30" t="s">
        <v>211</v>
      </c>
      <c r="D22" s="31" t="n">
        <v>1</v>
      </c>
      <c r="E22" s="32" t="n">
        <v>600</v>
      </c>
      <c r="F22" s="33" t="n">
        <f aca="false">D22*E22</f>
        <v>600</v>
      </c>
      <c r="G22" s="30" t="s">
        <v>361</v>
      </c>
    </row>
    <row r="23" customFormat="false" ht="15" hidden="false" customHeight="false" outlineLevel="0" collapsed="false">
      <c r="A23" s="30" t="s">
        <v>344</v>
      </c>
      <c r="B23" s="30" t="s">
        <v>362</v>
      </c>
      <c r="C23" s="30" t="s">
        <v>310</v>
      </c>
      <c r="D23" s="31" t="n">
        <v>1</v>
      </c>
      <c r="E23" s="32" t="n">
        <v>1500</v>
      </c>
      <c r="F23" s="33" t="n">
        <f aca="false">D23*E23</f>
        <v>1500</v>
      </c>
      <c r="G23" s="30"/>
    </row>
    <row r="24" customFormat="false" ht="15" hidden="false" customHeight="false" outlineLevel="0" collapsed="false">
      <c r="A24" s="30" t="s">
        <v>344</v>
      </c>
      <c r="B24" s="30" t="s">
        <v>363</v>
      </c>
      <c r="C24" s="30" t="s">
        <v>211</v>
      </c>
      <c r="D24" s="31" t="n">
        <v>4</v>
      </c>
      <c r="E24" s="32" t="n">
        <v>200</v>
      </c>
      <c r="F24" s="33" t="n">
        <f aca="false">D24*E24</f>
        <v>800</v>
      </c>
      <c r="G24" s="30" t="s">
        <v>364</v>
      </c>
    </row>
    <row r="25" customFormat="false" ht="15" hidden="false" customHeight="false" outlineLevel="0" collapsed="false">
      <c r="A25" s="30" t="s">
        <v>344</v>
      </c>
      <c r="B25" s="30" t="s">
        <v>365</v>
      </c>
      <c r="C25" s="30" t="s">
        <v>211</v>
      </c>
      <c r="D25" s="31" t="n">
        <v>2</v>
      </c>
      <c r="E25" s="32" t="n">
        <v>1200</v>
      </c>
      <c r="F25" s="33" t="n">
        <f aca="false">D25*E25</f>
        <v>2400</v>
      </c>
      <c r="G25" s="30"/>
    </row>
    <row r="26" customFormat="false" ht="15" hidden="false" customHeight="false" outlineLevel="0" collapsed="false">
      <c r="A26" s="30" t="s">
        <v>344</v>
      </c>
      <c r="B26" s="30" t="s">
        <v>366</v>
      </c>
      <c r="C26" s="30" t="s">
        <v>211</v>
      </c>
      <c r="D26" s="31" t="n">
        <v>1</v>
      </c>
      <c r="E26" s="32" t="n">
        <v>1500</v>
      </c>
      <c r="F26" s="33" t="n">
        <f aca="false">D26*E26</f>
        <v>1500</v>
      </c>
      <c r="G26" s="30"/>
    </row>
    <row r="27" customFormat="false" ht="15" hidden="false" customHeight="false" outlineLevel="0" collapsed="false">
      <c r="A27" s="30" t="s">
        <v>344</v>
      </c>
      <c r="B27" s="30" t="s">
        <v>367</v>
      </c>
      <c r="C27" s="30" t="s">
        <v>310</v>
      </c>
      <c r="D27" s="31" t="n">
        <v>1</v>
      </c>
      <c r="E27" s="34" t="n">
        <v>2000</v>
      </c>
      <c r="F27" s="33" t="n">
        <f aca="false">D27*E27</f>
        <v>2000</v>
      </c>
      <c r="G27" s="30" t="s">
        <v>368</v>
      </c>
    </row>
    <row r="28" customFormat="false" ht="15" hidden="false" customHeight="false" outlineLevel="0" collapsed="false">
      <c r="A28" s="30" t="s">
        <v>344</v>
      </c>
      <c r="B28" s="30" t="s">
        <v>369</v>
      </c>
      <c r="C28" s="30" t="s">
        <v>310</v>
      </c>
      <c r="D28" s="31" t="n">
        <v>1</v>
      </c>
      <c r="E28" s="32" t="n">
        <v>1800</v>
      </c>
      <c r="F28" s="33" t="n">
        <f aca="false">D28*E28</f>
        <v>1800</v>
      </c>
      <c r="G28" s="30"/>
    </row>
    <row r="29" customFormat="false" ht="15" hidden="false" customHeight="false" outlineLevel="0" collapsed="false">
      <c r="A29" s="30" t="s">
        <v>344</v>
      </c>
      <c r="B29" s="30" t="s">
        <v>370</v>
      </c>
      <c r="C29" s="30" t="s">
        <v>211</v>
      </c>
      <c r="D29" s="31" t="n">
        <v>1</v>
      </c>
      <c r="E29" s="32" t="n">
        <v>700</v>
      </c>
      <c r="F29" s="33" t="n">
        <f aca="false">D29*E29</f>
        <v>700</v>
      </c>
      <c r="G29" s="30"/>
    </row>
    <row r="30" customFormat="false" ht="15" hidden="false" customHeight="false" outlineLevel="0" collapsed="false">
      <c r="A30" s="30" t="s">
        <v>344</v>
      </c>
      <c r="B30" s="30" t="s">
        <v>371</v>
      </c>
      <c r="C30" s="30" t="s">
        <v>310</v>
      </c>
      <c r="D30" s="31" t="n">
        <v>1</v>
      </c>
      <c r="E30" s="32" t="n">
        <v>1500</v>
      </c>
      <c r="F30" s="33" t="n">
        <f aca="false">D30*E30</f>
        <v>1500</v>
      </c>
      <c r="G30" s="30"/>
    </row>
    <row r="31" customFormat="false" ht="15" hidden="false" customHeight="false" outlineLevel="0" collapsed="false">
      <c r="A31" s="30" t="s">
        <v>344</v>
      </c>
      <c r="B31" s="30" t="s">
        <v>372</v>
      </c>
      <c r="C31" s="30" t="s">
        <v>310</v>
      </c>
      <c r="D31" s="31" t="n">
        <v>1</v>
      </c>
      <c r="E31" s="35" t="n">
        <f aca="false">'Uç Ekipman'!I27</f>
        <v>5620</v>
      </c>
      <c r="F31" s="33" t="n">
        <f aca="false">D31*E31</f>
        <v>5620</v>
      </c>
      <c r="G31" s="30" t="s">
        <v>373</v>
      </c>
    </row>
    <row r="32" customFormat="false" ht="15" hidden="false" customHeight="false" outlineLevel="0" collapsed="false">
      <c r="A32" s="30"/>
      <c r="B32" s="36" t="s">
        <v>374</v>
      </c>
      <c r="C32" s="30"/>
      <c r="D32" s="30"/>
      <c r="E32" s="33"/>
      <c r="F32" s="37" t="n">
        <f aca="false">SUM(F13:F31)</f>
        <v>31720</v>
      </c>
      <c r="G32" s="30"/>
    </row>
    <row r="33" customFormat="false" ht="15" hidden="false" customHeight="false" outlineLevel="0" collapsed="false">
      <c r="A33" s="30"/>
      <c r="B33" s="36" t="s">
        <v>375</v>
      </c>
      <c r="C33" s="30"/>
      <c r="D33" s="30"/>
      <c r="E33" s="33"/>
      <c r="F33" s="37" t="n">
        <f aca="false">F32*(1+$B$6)</f>
        <v>39650</v>
      </c>
      <c r="G33" s="30"/>
    </row>
    <row r="34" customFormat="false" ht="15" hidden="false" customHeight="false" outlineLevel="0" collapsed="false">
      <c r="A34" s="30"/>
      <c r="B34" s="30"/>
      <c r="C34" s="30"/>
      <c r="D34" s="30"/>
      <c r="E34" s="33"/>
      <c r="F34" s="33"/>
      <c r="G34" s="30"/>
    </row>
    <row r="35" customFormat="false" ht="15" hidden="false" customHeight="false" outlineLevel="0" collapsed="false">
      <c r="A35" s="12" t="s">
        <v>342</v>
      </c>
      <c r="B35" s="12" t="s">
        <v>343</v>
      </c>
      <c r="C35" s="12" t="s">
        <v>200</v>
      </c>
      <c r="D35" s="12" t="s">
        <v>376</v>
      </c>
      <c r="E35" s="38" t="s">
        <v>377</v>
      </c>
      <c r="F35" s="38" t="s">
        <v>203</v>
      </c>
      <c r="G35" s="12" t="s">
        <v>205</v>
      </c>
    </row>
    <row r="36" customFormat="false" ht="15" hidden="false" customHeight="false" outlineLevel="0" collapsed="false">
      <c r="A36" s="30" t="s">
        <v>378</v>
      </c>
      <c r="B36" s="30" t="s">
        <v>379</v>
      </c>
      <c r="C36" s="30" t="s">
        <v>380</v>
      </c>
      <c r="D36" s="31" t="n">
        <v>16</v>
      </c>
      <c r="E36" s="39" t="n">
        <f aca="false">$B$7</f>
        <v>50</v>
      </c>
      <c r="F36" s="33" t="n">
        <f aca="false">D36*E36</f>
        <v>800</v>
      </c>
      <c r="G36" s="30"/>
    </row>
    <row r="37" customFormat="false" ht="15" hidden="false" customHeight="false" outlineLevel="0" collapsed="false">
      <c r="A37" s="30" t="s">
        <v>378</v>
      </c>
      <c r="B37" s="30" t="s">
        <v>381</v>
      </c>
      <c r="C37" s="30" t="s">
        <v>380</v>
      </c>
      <c r="D37" s="31" t="n">
        <v>24</v>
      </c>
      <c r="E37" s="39" t="n">
        <f aca="false">$B$7</f>
        <v>50</v>
      </c>
      <c r="F37" s="33" t="n">
        <f aca="false">D37*E37</f>
        <v>1200</v>
      </c>
      <c r="G37" s="30"/>
    </row>
    <row r="38" customFormat="false" ht="15" hidden="false" customHeight="false" outlineLevel="0" collapsed="false">
      <c r="A38" s="30" t="s">
        <v>378</v>
      </c>
      <c r="B38" s="30" t="s">
        <v>382</v>
      </c>
      <c r="C38" s="30" t="s">
        <v>380</v>
      </c>
      <c r="D38" s="31" t="n">
        <v>40</v>
      </c>
      <c r="E38" s="39" t="n">
        <f aca="false">$B$7</f>
        <v>50</v>
      </c>
      <c r="F38" s="33" t="n">
        <f aca="false">D38*E38</f>
        <v>2000</v>
      </c>
      <c r="G38" s="30"/>
    </row>
    <row r="39" customFormat="false" ht="15" hidden="false" customHeight="false" outlineLevel="0" collapsed="false">
      <c r="A39" s="30" t="s">
        <v>378</v>
      </c>
      <c r="B39" s="30" t="s">
        <v>383</v>
      </c>
      <c r="C39" s="30" t="s">
        <v>380</v>
      </c>
      <c r="D39" s="31" t="n">
        <v>60</v>
      </c>
      <c r="E39" s="39" t="n">
        <f aca="false">$B$7</f>
        <v>50</v>
      </c>
      <c r="F39" s="33" t="n">
        <f aca="false">D39*E39</f>
        <v>3000</v>
      </c>
      <c r="G39" s="30"/>
    </row>
    <row r="40" customFormat="false" ht="15" hidden="false" customHeight="false" outlineLevel="0" collapsed="false">
      <c r="A40" s="30" t="s">
        <v>378</v>
      </c>
      <c r="B40" s="30" t="s">
        <v>384</v>
      </c>
      <c r="C40" s="30" t="s">
        <v>380</v>
      </c>
      <c r="D40" s="31" t="n">
        <v>60</v>
      </c>
      <c r="E40" s="39" t="n">
        <f aca="false">$B$7</f>
        <v>50</v>
      </c>
      <c r="F40" s="33" t="n">
        <f aca="false">D40*E40</f>
        <v>3000</v>
      </c>
      <c r="G40" s="30" t="s">
        <v>385</v>
      </c>
    </row>
    <row r="41" customFormat="false" ht="15" hidden="false" customHeight="false" outlineLevel="0" collapsed="false">
      <c r="A41" s="30" t="s">
        <v>378</v>
      </c>
      <c r="B41" s="30" t="s">
        <v>386</v>
      </c>
      <c r="C41" s="30" t="s">
        <v>380</v>
      </c>
      <c r="D41" s="31" t="n">
        <v>24</v>
      </c>
      <c r="E41" s="39" t="n">
        <f aca="false">$B$7</f>
        <v>50</v>
      </c>
      <c r="F41" s="33" t="n">
        <f aca="false">D41*E41</f>
        <v>1200</v>
      </c>
      <c r="G41" s="30"/>
    </row>
    <row r="42" customFormat="false" ht="15" hidden="false" customHeight="false" outlineLevel="0" collapsed="false">
      <c r="A42" s="30" t="s">
        <v>378</v>
      </c>
      <c r="B42" s="30" t="s">
        <v>387</v>
      </c>
      <c r="C42" s="30" t="s">
        <v>380</v>
      </c>
      <c r="D42" s="31" t="n">
        <v>40</v>
      </c>
      <c r="E42" s="39" t="n">
        <f aca="false">$B$7</f>
        <v>50</v>
      </c>
      <c r="F42" s="33" t="n">
        <f aca="false">D42*E42</f>
        <v>2000</v>
      </c>
      <c r="G42" s="30"/>
    </row>
    <row r="43" customFormat="false" ht="15" hidden="false" customHeight="false" outlineLevel="0" collapsed="false">
      <c r="A43" s="30" t="s">
        <v>378</v>
      </c>
      <c r="B43" s="30" t="s">
        <v>388</v>
      </c>
      <c r="C43" s="30" t="s">
        <v>380</v>
      </c>
      <c r="D43" s="31" t="n">
        <v>16</v>
      </c>
      <c r="E43" s="39" t="n">
        <f aca="false">$B$7</f>
        <v>50</v>
      </c>
      <c r="F43" s="33" t="n">
        <f aca="false">D43*E43</f>
        <v>800</v>
      </c>
      <c r="G43" s="30" t="s">
        <v>389</v>
      </c>
    </row>
    <row r="44" customFormat="false" ht="15" hidden="false" customHeight="false" outlineLevel="0" collapsed="false">
      <c r="A44" s="30"/>
      <c r="B44" s="36" t="s">
        <v>390</v>
      </c>
      <c r="C44" s="30"/>
      <c r="D44" s="30"/>
      <c r="E44" s="33"/>
      <c r="F44" s="37" t="n">
        <f aca="false">SUM(F36:F43)</f>
        <v>14000</v>
      </c>
      <c r="G44" s="30"/>
    </row>
    <row r="45" customFormat="false" ht="15" hidden="false" customHeight="false" outlineLevel="0" collapsed="false">
      <c r="A45" s="30"/>
      <c r="B45" s="30"/>
      <c r="C45" s="30"/>
      <c r="D45" s="30"/>
      <c r="E45" s="33"/>
      <c r="F45" s="33"/>
      <c r="G45" s="30"/>
    </row>
    <row r="46" customFormat="false" ht="15" hidden="false" customHeight="false" outlineLevel="0" collapsed="false">
      <c r="A46" s="12" t="s">
        <v>342</v>
      </c>
      <c r="B46" s="12" t="s">
        <v>343</v>
      </c>
      <c r="C46" s="12" t="s">
        <v>200</v>
      </c>
      <c r="D46" s="12" t="s">
        <v>201</v>
      </c>
      <c r="E46" s="38" t="s">
        <v>202</v>
      </c>
      <c r="F46" s="38" t="s">
        <v>203</v>
      </c>
      <c r="G46" s="12" t="s">
        <v>205</v>
      </c>
    </row>
    <row r="47" customFormat="false" ht="15" hidden="false" customHeight="false" outlineLevel="0" collapsed="false">
      <c r="A47" s="30" t="s">
        <v>391</v>
      </c>
      <c r="B47" s="30" t="s">
        <v>392</v>
      </c>
      <c r="C47" s="30" t="s">
        <v>393</v>
      </c>
      <c r="D47" s="31" t="n">
        <v>0</v>
      </c>
      <c r="E47" s="32" t="n">
        <v>15</v>
      </c>
      <c r="F47" s="33" t="n">
        <f aca="false">D47*E47</f>
        <v>0</v>
      </c>
      <c r="G47" s="30" t="s">
        <v>394</v>
      </c>
    </row>
    <row r="48" customFormat="false" ht="15" hidden="false" customHeight="false" outlineLevel="0" collapsed="false">
      <c r="A48" s="40"/>
      <c r="B48" s="40"/>
      <c r="C48" s="40"/>
      <c r="D48" s="40"/>
      <c r="E48" s="41"/>
      <c r="F48" s="41"/>
      <c r="G48" s="40"/>
    </row>
    <row r="49" customFormat="false" ht="15" hidden="false" customHeight="false" outlineLevel="0" collapsed="false">
      <c r="A49" s="24" t="s">
        <v>395</v>
      </c>
      <c r="B49" s="42"/>
      <c r="C49" s="42"/>
      <c r="D49" s="42"/>
      <c r="E49" s="43"/>
      <c r="F49" s="43"/>
      <c r="G49" s="42"/>
    </row>
    <row r="50" customFormat="false" ht="15" hidden="false" customHeight="false" outlineLevel="0" collapsed="false">
      <c r="A50" s="40"/>
      <c r="B50" s="40" t="s">
        <v>396</v>
      </c>
      <c r="C50" s="40"/>
      <c r="D50" s="40"/>
      <c r="E50" s="41"/>
      <c r="F50" s="41" t="n">
        <f aca="false">F33</f>
        <v>39650</v>
      </c>
      <c r="G50" s="40"/>
    </row>
    <row r="51" customFormat="false" ht="15" hidden="false" customHeight="false" outlineLevel="0" collapsed="false">
      <c r="A51" s="40"/>
      <c r="B51" s="40" t="s">
        <v>378</v>
      </c>
      <c r="C51" s="40"/>
      <c r="D51" s="40"/>
      <c r="E51" s="41"/>
      <c r="F51" s="41" t="n">
        <f aca="false">F44</f>
        <v>14000</v>
      </c>
      <c r="G51" s="40"/>
    </row>
    <row r="52" customFormat="false" ht="15" hidden="false" customHeight="false" outlineLevel="0" collapsed="false">
      <c r="A52" s="40"/>
      <c r="B52" s="40" t="s">
        <v>397</v>
      </c>
      <c r="C52" s="40"/>
      <c r="D52" s="40"/>
      <c r="E52" s="41"/>
      <c r="F52" s="41" t="n">
        <f aca="false">F47</f>
        <v>0</v>
      </c>
      <c r="G52" s="40"/>
    </row>
    <row r="53" customFormat="false" ht="15" hidden="false" customHeight="false" outlineLevel="0" collapsed="false">
      <c r="A53" s="40"/>
      <c r="B53" s="40" t="s">
        <v>336</v>
      </c>
      <c r="C53" s="40"/>
      <c r="D53" s="40"/>
      <c r="E53" s="41"/>
      <c r="F53" s="41" t="n">
        <f aca="false">SUM(F50:F52)*$B$8</f>
        <v>5365</v>
      </c>
      <c r="G53" s="40"/>
    </row>
    <row r="54" customFormat="false" ht="15" hidden="false" customHeight="false" outlineLevel="0" collapsed="false">
      <c r="A54" s="40"/>
      <c r="B54" s="5" t="s">
        <v>398</v>
      </c>
      <c r="C54" s="40"/>
      <c r="D54" s="40"/>
      <c r="E54" s="41"/>
      <c r="F54" s="44" t="n">
        <f aca="false">SUM(F50:F53)</f>
        <v>59015</v>
      </c>
      <c r="G54" s="40"/>
    </row>
    <row r="55" customFormat="false" ht="15" hidden="false" customHeight="false" outlineLevel="0" collapsed="false">
      <c r="A55" s="40"/>
      <c r="B55" s="40" t="s">
        <v>399</v>
      </c>
      <c r="C55" s="40"/>
      <c r="D55" s="40"/>
      <c r="E55" s="41"/>
      <c r="F55" s="41" t="n">
        <f aca="false">F54*$B$9</f>
        <v>11803</v>
      </c>
      <c r="G55" s="40"/>
    </row>
    <row r="56" customFormat="false" ht="15" hidden="false" customHeight="false" outlineLevel="0" collapsed="false">
      <c r="A56" s="40"/>
      <c r="B56" s="45" t="s">
        <v>400</v>
      </c>
      <c r="C56" s="40"/>
      <c r="D56" s="40"/>
      <c r="E56" s="41"/>
      <c r="F56" s="46" t="n">
        <f aca="false">F54+F55</f>
        <v>70818</v>
      </c>
      <c r="G56" s="40"/>
    </row>
    <row r="57" customFormat="false" ht="15" hidden="false" customHeight="false" outlineLevel="0" collapsed="false">
      <c r="A57" s="40"/>
      <c r="B57" s="45" t="s">
        <v>401</v>
      </c>
      <c r="C57" s="40"/>
      <c r="D57" s="40"/>
      <c r="E57" s="41"/>
      <c r="F57" s="47" t="n">
        <f aca="false">F56*$B$5</f>
        <v>3540900</v>
      </c>
      <c r="G57" s="40"/>
    </row>
    <row r="58" customFormat="false" ht="15" hidden="false" customHeight="false" outlineLevel="0" collapsed="false">
      <c r="A58" s="40"/>
      <c r="B58" s="40" t="s">
        <v>402</v>
      </c>
      <c r="C58" s="40" t="s">
        <v>403</v>
      </c>
      <c r="D58" s="7" t="n">
        <v>400</v>
      </c>
      <c r="E58" s="41"/>
      <c r="F58" s="41" t="n">
        <f aca="false">IF(D58&gt;0,F54/D58,0)</f>
        <v>147.5375</v>
      </c>
      <c r="G58" s="40"/>
    </row>
    <row r="59" customFormat="false" ht="15" hidden="false" customHeight="false" outlineLevel="0" collapsed="false">
      <c r="A59" s="40"/>
      <c r="B59" s="40" t="s">
        <v>404</v>
      </c>
      <c r="C59" s="40"/>
      <c r="D59" s="40"/>
      <c r="E59" s="41"/>
      <c r="F59" s="41" t="n">
        <f aca="false">F33-F32+F44</f>
        <v>21930</v>
      </c>
      <c r="G59" s="40"/>
    </row>
    <row r="60" customFormat="false" ht="15" hidden="false" customHeight="false" outlineLevel="0" collapsed="false">
      <c r="A60" s="40"/>
      <c r="B60" s="40" t="s">
        <v>405</v>
      </c>
      <c r="C60" s="40"/>
      <c r="D60" s="40"/>
      <c r="E60" s="41"/>
      <c r="F60" s="41" t="n">
        <f aca="false">F54*$B$10</f>
        <v>4721.2</v>
      </c>
      <c r="G60" s="4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2026-10-14T18:04:43Z</dcterms:created>
  <dc:creator>openpyxl</dc:creator>
  <dc:description/>
  <dc:language>en-US</dc:language>
  <cp:lastModifiedBy/>
  <dcterms:modified xsi:type="dcterms:W3CDTF">2026-10-14T18:04:43Z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